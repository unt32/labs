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2.xml" ContentType="application/vnd.ms-office.chartstyle+xml"/>
  <Override PartName="/xl/charts/chart3.xml" ContentType="application/vnd.openxmlformats-officedocument.drawingml.chart+xml"/>
  <Override PartName="/xl/charts/chart2.xml" ContentType="application/vnd.openxmlformats-officedocument.drawingml.chart+xml"/>
  <Override PartName="/xl/charts/colors2.xml" ContentType="application/vnd.ms-office.chartcolorstyle+xml"/>
  <Override PartName="/xl/charts/style3.xml" ContentType="application/vnd.ms-office.chartstyle+xml"/>
  <Override PartName="/xl/charts/style1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data" sheetId="1" state="visible" r:id="rId3"/>
    <sheet name="calculations" sheetId="2" state="visible" r:id="rId4"/>
    <sheet name="charts" sheetId="3" state="visible" r:id="rId5"/>
  </sheets>
  <definedNames>
    <definedName function="false" hidden="true" localSheetId="0" name="_xlnm._FilterDatabase" vbProcedure="false">data!$A$1:$I$201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<sst xmlns="http://schemas.openxmlformats.org/spreadsheetml/2006/main" count="693" uniqueCount="227">
  <si>
    <t xml:space="preserve">ID</t>
  </si>
  <si>
    <t xml:space="preserve">Product Name</t>
  </si>
  <si>
    <t xml:space="preserve">Category</t>
  </si>
  <si>
    <t xml:space="preserve">Purchase Price</t>
  </si>
  <si>
    <t xml:space="preserve">Sale Price</t>
  </si>
  <si>
    <t xml:space="preserve">Stock Quantity</t>
  </si>
  <si>
    <t xml:space="preserve">Total Purchase Value</t>
  </si>
  <si>
    <t xml:space="preserve">Total Sale Value</t>
  </si>
  <si>
    <t xml:space="preserve">Markup</t>
  </si>
  <si>
    <t xml:space="preserve">Snacks 1</t>
  </si>
  <si>
    <t xml:space="preserve">Snacks</t>
  </si>
  <si>
    <t xml:space="preserve">Snacks 2</t>
  </si>
  <si>
    <t xml:space="preserve">Fruits 3</t>
  </si>
  <si>
    <t xml:space="preserve">Fruits</t>
  </si>
  <si>
    <t xml:space="preserve">Dairy 4</t>
  </si>
  <si>
    <t xml:space="preserve">Dairy</t>
  </si>
  <si>
    <t xml:space="preserve">Snacks 5</t>
  </si>
  <si>
    <t xml:space="preserve">Snacks 6</t>
  </si>
  <si>
    <t xml:space="preserve">Dairy 7</t>
  </si>
  <si>
    <t xml:space="preserve">Snacks 8</t>
  </si>
  <si>
    <t xml:space="preserve">Dairy 9</t>
  </si>
  <si>
    <t xml:space="preserve">Dairy 10</t>
  </si>
  <si>
    <t xml:space="preserve">Vegetables 11</t>
  </si>
  <si>
    <t xml:space="preserve">Vegetables</t>
  </si>
  <si>
    <t xml:space="preserve">Vegetables 12</t>
  </si>
  <si>
    <t xml:space="preserve">Vegetables 13</t>
  </si>
  <si>
    <t xml:space="preserve">Snacks 14</t>
  </si>
  <si>
    <t xml:space="preserve">Vegetables 15</t>
  </si>
  <si>
    <t xml:space="preserve">Vegetables 16</t>
  </si>
  <si>
    <t xml:space="preserve">Drinks 17</t>
  </si>
  <si>
    <t xml:space="preserve">Drinks</t>
  </si>
  <si>
    <t xml:space="preserve">Fruits 18</t>
  </si>
  <si>
    <t xml:space="preserve">Snacks 19</t>
  </si>
  <si>
    <t xml:space="preserve">Snacks 20</t>
  </si>
  <si>
    <t xml:space="preserve">Vegetables 21</t>
  </si>
  <si>
    <t xml:space="preserve">Fruits 22</t>
  </si>
  <si>
    <t xml:space="preserve">Drinks 23</t>
  </si>
  <si>
    <t xml:space="preserve">Fruits 24</t>
  </si>
  <si>
    <t xml:space="preserve">Drinks 25</t>
  </si>
  <si>
    <t xml:space="preserve">Dairy 26</t>
  </si>
  <si>
    <t xml:space="preserve">Vegetables 27</t>
  </si>
  <si>
    <t xml:space="preserve">Dairy 28</t>
  </si>
  <si>
    <t xml:space="preserve">Snacks 29</t>
  </si>
  <si>
    <t xml:space="preserve">Snacks 30</t>
  </si>
  <si>
    <t xml:space="preserve">Fruits 31</t>
  </si>
  <si>
    <t xml:space="preserve">Dairy 32</t>
  </si>
  <si>
    <t xml:space="preserve">Snacks 33</t>
  </si>
  <si>
    <t xml:space="preserve">Dairy 34</t>
  </si>
  <si>
    <t xml:space="preserve">Fruits 35</t>
  </si>
  <si>
    <t xml:space="preserve">Drinks 36</t>
  </si>
  <si>
    <t xml:space="preserve">Vegetables 37</t>
  </si>
  <si>
    <t xml:space="preserve">Drinks 38</t>
  </si>
  <si>
    <t xml:space="preserve">Fruits 39</t>
  </si>
  <si>
    <t xml:space="preserve">Dairy 40</t>
  </si>
  <si>
    <t xml:space="preserve">Fruits 41</t>
  </si>
  <si>
    <t xml:space="preserve">Drinks 42</t>
  </si>
  <si>
    <t xml:space="preserve">Vegetables 43</t>
  </si>
  <si>
    <t xml:space="preserve">Vegetables 44</t>
  </si>
  <si>
    <t xml:space="preserve">Dairy 45</t>
  </si>
  <si>
    <t xml:space="preserve">Fruits 46</t>
  </si>
  <si>
    <t xml:space="preserve">Fruits 47</t>
  </si>
  <si>
    <t xml:space="preserve">Drinks 48</t>
  </si>
  <si>
    <t xml:space="preserve">Dairy 49</t>
  </si>
  <si>
    <t xml:space="preserve">Vegetables 50</t>
  </si>
  <si>
    <t xml:space="preserve">Drinks 51</t>
  </si>
  <si>
    <t xml:space="preserve">Snacks 52</t>
  </si>
  <si>
    <t xml:space="preserve">Dairy 53</t>
  </si>
  <si>
    <t xml:space="preserve">Fruits 54</t>
  </si>
  <si>
    <t xml:space="preserve">Vegetables 55</t>
  </si>
  <si>
    <t xml:space="preserve">Vegetables 56</t>
  </si>
  <si>
    <t xml:space="preserve">Snacks 57</t>
  </si>
  <si>
    <t xml:space="preserve">Drinks 58</t>
  </si>
  <si>
    <t xml:space="preserve">Drinks 59</t>
  </si>
  <si>
    <t xml:space="preserve">Fruits 60</t>
  </si>
  <si>
    <t xml:space="preserve">Fruits 61</t>
  </si>
  <si>
    <t xml:space="preserve">Fruits 62</t>
  </si>
  <si>
    <t xml:space="preserve">Vegetables 63</t>
  </si>
  <si>
    <t xml:space="preserve">Fruits 64</t>
  </si>
  <si>
    <t xml:space="preserve">Drinks 65</t>
  </si>
  <si>
    <t xml:space="preserve">Fruits 66</t>
  </si>
  <si>
    <t xml:space="preserve">Snacks 67</t>
  </si>
  <si>
    <t xml:space="preserve">Drinks 68</t>
  </si>
  <si>
    <t xml:space="preserve">Dairy 69</t>
  </si>
  <si>
    <t xml:space="preserve">Drinks 70</t>
  </si>
  <si>
    <t xml:space="preserve">Snacks 71</t>
  </si>
  <si>
    <t xml:space="preserve">Dairy 72</t>
  </si>
  <si>
    <t xml:space="preserve">Dairy 73</t>
  </si>
  <si>
    <t xml:space="preserve">Fruits 74</t>
  </si>
  <si>
    <t xml:space="preserve">Snacks 75</t>
  </si>
  <si>
    <t xml:space="preserve">Drinks 76</t>
  </si>
  <si>
    <t xml:space="preserve">Snacks 77</t>
  </si>
  <si>
    <t xml:space="preserve">Dairy 78</t>
  </si>
  <si>
    <t xml:space="preserve">Vegetables 79</t>
  </si>
  <si>
    <t xml:space="preserve">Snacks 80</t>
  </si>
  <si>
    <t xml:space="preserve">Vegetables 81</t>
  </si>
  <si>
    <t xml:space="preserve">Fruits 82</t>
  </si>
  <si>
    <t xml:space="preserve">Drinks 83</t>
  </si>
  <si>
    <t xml:space="preserve">Vegetables 84</t>
  </si>
  <si>
    <t xml:space="preserve">Vegetables 85</t>
  </si>
  <si>
    <t xml:space="preserve">Snacks 86</t>
  </si>
  <si>
    <t xml:space="preserve">Drinks 87</t>
  </si>
  <si>
    <t xml:space="preserve">Dairy 88</t>
  </si>
  <si>
    <t xml:space="preserve">Snacks 89</t>
  </si>
  <si>
    <t xml:space="preserve">Fruits 90</t>
  </si>
  <si>
    <t xml:space="preserve">Drinks 91</t>
  </si>
  <si>
    <t xml:space="preserve">Drinks 92</t>
  </si>
  <si>
    <t xml:space="preserve">Dairy 93</t>
  </si>
  <si>
    <t xml:space="preserve">Vegetables 94</t>
  </si>
  <si>
    <t xml:space="preserve">Dairy 95</t>
  </si>
  <si>
    <t xml:space="preserve">Vegetables 96</t>
  </si>
  <si>
    <t xml:space="preserve">Dairy 97</t>
  </si>
  <si>
    <t xml:space="preserve">Vegetables 98</t>
  </si>
  <si>
    <t xml:space="preserve">Dairy 99</t>
  </si>
  <si>
    <t xml:space="preserve">Drinks 100</t>
  </si>
  <si>
    <t xml:space="preserve">Vegetables 101</t>
  </si>
  <si>
    <t xml:space="preserve">Dairy 102</t>
  </si>
  <si>
    <t xml:space="preserve">Drinks 103</t>
  </si>
  <si>
    <t xml:space="preserve">Vegetables 104</t>
  </si>
  <si>
    <t xml:space="preserve">Drinks 105</t>
  </si>
  <si>
    <t xml:space="preserve">Vegetables 106</t>
  </si>
  <si>
    <t xml:space="preserve">Snacks 107</t>
  </si>
  <si>
    <t xml:space="preserve">Fruits 108</t>
  </si>
  <si>
    <t xml:space="preserve">Snacks 109</t>
  </si>
  <si>
    <t xml:space="preserve">Drinks 110</t>
  </si>
  <si>
    <t xml:space="preserve">Snacks 111</t>
  </si>
  <si>
    <t xml:space="preserve">Fruits 112</t>
  </si>
  <si>
    <t xml:space="preserve">Drinks 113</t>
  </si>
  <si>
    <t xml:space="preserve">Drinks 114</t>
  </si>
  <si>
    <t xml:space="preserve">Vegetables 115</t>
  </si>
  <si>
    <t xml:space="preserve">Dairy 116</t>
  </si>
  <si>
    <t xml:space="preserve">Snacks 117</t>
  </si>
  <si>
    <t xml:space="preserve">Fruits 118</t>
  </si>
  <si>
    <t xml:space="preserve">Snacks 119</t>
  </si>
  <si>
    <t xml:space="preserve">Fruits 120</t>
  </si>
  <si>
    <t xml:space="preserve">Vegetables 121</t>
  </si>
  <si>
    <t xml:space="preserve">Fruits 122</t>
  </si>
  <si>
    <t xml:space="preserve">Fruits 123</t>
  </si>
  <si>
    <t xml:space="preserve">Snacks 124</t>
  </si>
  <si>
    <t xml:space="preserve">Vegetables 125</t>
  </si>
  <si>
    <t xml:space="preserve">Drinks 126</t>
  </si>
  <si>
    <t xml:space="preserve">Drinks 127</t>
  </si>
  <si>
    <t xml:space="preserve">Snacks 128</t>
  </si>
  <si>
    <t xml:space="preserve">Fruits 129</t>
  </si>
  <si>
    <t xml:space="preserve">Snacks 130</t>
  </si>
  <si>
    <t xml:space="preserve">Vegetables 131</t>
  </si>
  <si>
    <t xml:space="preserve">Fruits 132</t>
  </si>
  <si>
    <t xml:space="preserve">Fruits 133</t>
  </si>
  <si>
    <t xml:space="preserve">Dairy 134</t>
  </si>
  <si>
    <t xml:space="preserve">Dairy 135</t>
  </si>
  <si>
    <t xml:space="preserve">Drinks 136</t>
  </si>
  <si>
    <t xml:space="preserve">Drinks 137</t>
  </si>
  <si>
    <t xml:space="preserve">Drinks 138</t>
  </si>
  <si>
    <t xml:space="preserve">Dairy 139</t>
  </si>
  <si>
    <t xml:space="preserve">Fruits 140</t>
  </si>
  <si>
    <t xml:space="preserve">Vegetables 141</t>
  </si>
  <si>
    <t xml:space="preserve">Drinks 142</t>
  </si>
  <si>
    <t xml:space="preserve">Snacks 143</t>
  </si>
  <si>
    <t xml:space="preserve">Snacks 144</t>
  </si>
  <si>
    <t xml:space="preserve">Dairy 145</t>
  </si>
  <si>
    <t xml:space="preserve">Drinks 146</t>
  </si>
  <si>
    <t xml:space="preserve">Fruits 147</t>
  </si>
  <si>
    <t xml:space="preserve">Dairy 148</t>
  </si>
  <si>
    <t xml:space="preserve">Drinks 149</t>
  </si>
  <si>
    <t xml:space="preserve">Dairy 150</t>
  </si>
  <si>
    <t xml:space="preserve">Vegetables 151</t>
  </si>
  <si>
    <t xml:space="preserve">Fruits 152</t>
  </si>
  <si>
    <t xml:space="preserve">Drinks 153</t>
  </si>
  <si>
    <t xml:space="preserve">Snacks 154</t>
  </si>
  <si>
    <t xml:space="preserve">Dairy 155</t>
  </si>
  <si>
    <t xml:space="preserve">Snacks 156</t>
  </si>
  <si>
    <t xml:space="preserve">Fruits 157</t>
  </si>
  <si>
    <t xml:space="preserve">Drinks 158</t>
  </si>
  <si>
    <t xml:space="preserve">Vegetables 159</t>
  </si>
  <si>
    <t xml:space="preserve">Vegetables 160</t>
  </si>
  <si>
    <t xml:space="preserve">Dairy 161</t>
  </si>
  <si>
    <t xml:space="preserve">Dairy 162</t>
  </si>
  <si>
    <t xml:space="preserve">Fruits 163</t>
  </si>
  <si>
    <t xml:space="preserve">Vegetables 164</t>
  </si>
  <si>
    <t xml:space="preserve">Drinks 165</t>
  </si>
  <si>
    <t xml:space="preserve">Snacks 166</t>
  </si>
  <si>
    <t xml:space="preserve">Fruits 167</t>
  </si>
  <si>
    <t xml:space="preserve">Drinks 168</t>
  </si>
  <si>
    <t xml:space="preserve">Snacks 169</t>
  </si>
  <si>
    <t xml:space="preserve">Vegetables 170</t>
  </si>
  <si>
    <t xml:space="preserve">Vegetables 171</t>
  </si>
  <si>
    <t xml:space="preserve">Fruits 172</t>
  </si>
  <si>
    <t xml:space="preserve">Dairy 173</t>
  </si>
  <si>
    <t xml:space="preserve">Snacks 174</t>
  </si>
  <si>
    <t xml:space="preserve">Vegetables 175</t>
  </si>
  <si>
    <t xml:space="preserve">Snacks 176</t>
  </si>
  <si>
    <t xml:space="preserve">Fruits 177</t>
  </si>
  <si>
    <t xml:space="preserve">Snacks 178</t>
  </si>
  <si>
    <t xml:space="preserve">Vegetables 179</t>
  </si>
  <si>
    <t xml:space="preserve">Fruits 180</t>
  </si>
  <si>
    <t xml:space="preserve">Dairy 181</t>
  </si>
  <si>
    <t xml:space="preserve">Dairy 182</t>
  </si>
  <si>
    <t xml:space="preserve">Vegetables 183</t>
  </si>
  <si>
    <t xml:space="preserve">Vegetables 184</t>
  </si>
  <si>
    <t xml:space="preserve">Fruits 185</t>
  </si>
  <si>
    <t xml:space="preserve">Snacks 186</t>
  </si>
  <si>
    <t xml:space="preserve">Vegetables 187</t>
  </si>
  <si>
    <t xml:space="preserve">Vegetables 188</t>
  </si>
  <si>
    <t xml:space="preserve">Drinks 189</t>
  </si>
  <si>
    <t xml:space="preserve">Vegetables 190</t>
  </si>
  <si>
    <t xml:space="preserve">Snacks 191</t>
  </si>
  <si>
    <t xml:space="preserve">Snacks 192</t>
  </si>
  <si>
    <t xml:space="preserve">Fruits 193</t>
  </si>
  <si>
    <t xml:space="preserve">Drinks 194</t>
  </si>
  <si>
    <t xml:space="preserve">Vegetables 195</t>
  </si>
  <si>
    <t xml:space="preserve">Vegetables 196</t>
  </si>
  <si>
    <t xml:space="preserve">Drinks 197</t>
  </si>
  <si>
    <t xml:space="preserve">Dairy 198</t>
  </si>
  <si>
    <t xml:space="preserve">Vegetables 199</t>
  </si>
  <si>
    <t xml:space="preserve">Vegetables 200</t>
  </si>
  <si>
    <t xml:space="preserve">Metric Name</t>
  </si>
  <si>
    <t xml:space="preserve">Математическое ожидание</t>
  </si>
  <si>
    <t xml:space="preserve">Мода</t>
  </si>
  <si>
    <t xml:space="preserve">Медиана</t>
  </si>
  <si>
    <t xml:space="preserve">Дисперсия</t>
  </si>
  <si>
    <t xml:space="preserve">Для цены</t>
  </si>
  <si>
    <t xml:space="preserve">Среднее квадратическое отклонение</t>
  </si>
  <si>
    <t xml:space="preserve">Для количества</t>
  </si>
  <si>
    <t xml:space="preserve">Upper ranges</t>
  </si>
  <si>
    <t xml:space="preserve">count</t>
  </si>
  <si>
    <t xml:space="preserve">Sum - Total Sale Value</t>
  </si>
  <si>
    <t xml:space="preserve">Total Result</t>
  </si>
  <si>
    <t xml:space="preserve">Count - ID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</si>
</sst>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Noto San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Noto Sans"/>
      <family val="2"/>
    </font>
    <font>
      <sz val="10"/>
      <name val="Noto Serif"/>
      <family val="1"/>
    </font>
    <font>
      <sz val="13"/>
      <name val="Noto Sans"/>
      <family val="2"/>
    </font>
    <font>
      <sz val="9"/>
      <name val="Noto Sans"/>
      <family val="2"/>
    </font>
  </fonts>
  <fills count="2">
    <fill>
      <patternFill patternType="none"/>
    </fill>
    <fill>
      <patternFill patternType="gray125"/>
    </fill>
  </fills>
  <borders count="10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false" applyBorder="false" applyAlignment="false" applyProtection="false"/>
    <xf numFmtId="164" fontId="0" fillId="0" borderId="0" applyFont="false" applyBorder="false" applyAlignment="false" applyProtection="false"/>
    <xf numFmtId="164" fontId="0" fillId="0" borderId="0" applyFont="false" applyBorder="false" applyAlignment="false" applyProtection="false"/>
    <xf numFmtId="164" fontId="0" fillId="0" borderId="0" applyFont="fals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4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6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8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9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orner" xfId="20"/>
    <cellStyle name="Pivot Table Value" xfId="21"/>
    <cellStyle name="Pivot Table Field" xfId="22"/>
    <cellStyle name="Pivot Table Category" xfId="23"/>
    <cellStyle name="Pivot Table Title" xfId="24"/>
    <cellStyle name="Pivot Table Result" xfId="25"/>
  </cellStyles>
  <dxfs count="1"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E0021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D320"/>
      <rgbColor rgb="FFFF9900"/>
      <rgbColor rgb="FFFF420E"/>
      <rgbColor rgb="FF666699"/>
      <rgbColor rgb="FF969696"/>
      <rgbColor rgb="FF004586"/>
      <rgbColor rgb="FF579D1C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Noto Sans"/>
              </a:defRPr>
            </a:pPr>
            <a:r>
              <a:rPr sz="1300" b="0" u="none" strike="noStrike">
                <a:uFillTx/>
                <a:latin typeface="Noto Sans"/>
              </a:rPr>
              <a:t>Распределение стоимости по категориям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charts!$B$16</c:f>
              <c:strCache>
                <c:ptCount val="1"/>
                <c:pt idx="0">
                  <c:v>Sum - Total Sale Value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Noto San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charts!$A$17:$A$21</c:f>
              <c:strCache>
                <c:ptCount val="5"/>
                <c:pt idx="0">
                  <c:v>Dairy</c:v>
                </c:pt>
                <c:pt idx="1">
                  <c:v>Drinks</c:v>
                </c:pt>
                <c:pt idx="2">
                  <c:v>Fruits</c:v>
                </c:pt>
                <c:pt idx="3">
                  <c:v>Snacks</c:v>
                </c:pt>
                <c:pt idx="4">
                  <c:v>Vegetables</c:v>
                </c:pt>
              </c:strCache>
            </c:strRef>
          </c:cat>
          <c:val>
            <c:numRef>
              <c:f>charts!$B$17:$B$21</c:f>
              <c:numCache>
                <c:formatCode>General</c:formatCode>
                <c:ptCount val="5"/>
                <c:pt idx="0">
                  <c:v>186780.87</c:v>
                </c:pt>
                <c:pt idx="1">
                  <c:v>190599.73</c:v>
                </c:pt>
                <c:pt idx="2">
                  <c:v>190931.39</c:v>
                </c:pt>
                <c:pt idx="3">
                  <c:v>224341.82</c:v>
                </c:pt>
                <c:pt idx="4">
                  <c:v>261167.8</c:v>
                </c:pt>
              </c:numCache>
            </c:numRef>
          </c:val>
        </c:ser>
        <c:gapWidth val="100"/>
        <c:overlap val="0"/>
        <c:axId val="20314332"/>
        <c:axId val="22274525"/>
      </c:barChart>
      <c:catAx>
        <c:axId val="2031433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Noto Sans"/>
                  </a:defRPr>
                </a:pPr>
                <a:r>
                  <a:rPr sz="900" b="0" u="none" strike="noStrike">
                    <a:uFillTx/>
                    <a:latin typeface="Noto Sans"/>
                  </a:rPr>
                  <a:t>Категории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Noto Sans"/>
              </a:defRPr>
            </a:pPr>
          </a:p>
        </c:txPr>
        <c:crossAx val="22274525"/>
        <c:crosses val="autoZero"/>
        <c:auto val="1"/>
        <c:lblAlgn val="ctr"/>
        <c:lblOffset val="100"/>
        <c:noMultiLvlLbl val="0"/>
      </c:catAx>
      <c:valAx>
        <c:axId val="2227452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Noto Sans"/>
                  </a:defRPr>
                </a:pPr>
                <a:r>
                  <a:rPr sz="900" b="0" u="none" strike="noStrike">
                    <a:uFillTx/>
                    <a:latin typeface="Noto Sans"/>
                  </a:rPr>
                  <a:t>Суммарная стоимость (лей)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Noto Sans"/>
              </a:defRPr>
            </a:pPr>
          </a:p>
        </c:txPr>
        <c:crossAx val="20314332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plotVisOnly val="1"/>
    <c:dispBlanksAs val="gap"/>
  </c:chart>
  <c:spPr>
    <a:solidFill>
      <a:srgbClr val="FFFFFF"/>
    </a:solidFill>
    <a:ln w="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Noto Sans"/>
              </a:defRPr>
            </a:pPr>
            <a:r>
              <a:rPr sz="1300" b="0" u="none" strike="noStrike">
                <a:uFillTx/>
                <a:latin typeface="Noto Sans"/>
              </a:rPr>
              <a:t>количество товарных позиций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365480598937369"/>
          <c:y val="0.172219236969371"/>
          <c:w val="0.663097729834165"/>
          <c:h val="0.795002686727566"/>
        </c:manualLayout>
      </c:layout>
      <c:pieChart>
        <c:varyColors val="1"/>
        <c:ser>
          <c:idx val="0"/>
          <c:order val="0"/>
          <c:tx>
            <c:strRef>
              <c:f>charts!$B$36</c:f>
              <c:strCache>
                <c:ptCount val="1"/>
                <c:pt idx="0">
                  <c:v>Count - ID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FF420E"/>
              </a:solidFill>
              <a:ln w="0">
                <a:noFill/>
              </a:ln>
            </c:spPr>
          </c:dPt>
          <c:dPt>
            <c:idx val="2"/>
            <c:spPr>
              <a:solidFill>
                <a:srgbClr val="FFD320"/>
              </a:solidFill>
              <a:ln w="0">
                <a:noFill/>
              </a:ln>
            </c:spPr>
          </c:dPt>
          <c:dPt>
            <c:idx val="3"/>
            <c:spPr>
              <a:solidFill>
                <a:srgbClr val="579D1C"/>
              </a:solidFill>
              <a:ln w="0">
                <a:noFill/>
              </a:ln>
            </c:spPr>
          </c:dPt>
          <c:dPt>
            <c:idx val="4"/>
            <c:spPr>
              <a:solidFill>
                <a:srgbClr val="7E0021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Noto San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Noto San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Noto San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Noto San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Noto San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sz="1000" b="0" u="none" strike="noStrike">
                    <a:uFillTx/>
                    <a:latin typeface="Noto San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charts!$A$37:$A$41</c:f>
              <c:strCache>
                <c:ptCount val="5"/>
                <c:pt idx="0">
                  <c:v>Dairy</c:v>
                </c:pt>
                <c:pt idx="1">
                  <c:v>Drinks</c:v>
                </c:pt>
                <c:pt idx="2">
                  <c:v>Fruits</c:v>
                </c:pt>
                <c:pt idx="3">
                  <c:v>Snacks</c:v>
                </c:pt>
                <c:pt idx="4">
                  <c:v>Vegetables</c:v>
                </c:pt>
              </c:strCache>
            </c:strRef>
          </c:cat>
          <c:val>
            <c:numRef>
              <c:f>charts!$B$37:$B$41</c:f>
              <c:numCache>
                <c:formatCode>General</c:formatCode>
                <c:ptCount val="5"/>
                <c:pt idx="0">
                  <c:v>36</c:v>
                </c:pt>
                <c:pt idx="1">
                  <c:v>39</c:v>
                </c:pt>
                <c:pt idx="2">
                  <c:v>39</c:v>
                </c:pt>
                <c:pt idx="3">
                  <c:v>40</c:v>
                </c:pt>
                <c:pt idx="4">
                  <c:v>46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layout>
        <c:manualLayout>
          <c:xMode val="edge"/>
          <c:yMode val="edge"/>
          <c:x val="0.799871196264692"/>
          <c:y val="0.329392799570124"/>
          <c:w val="0.145318412366154"/>
          <c:h val="0.331586725782615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Noto Sans"/>
            </a:defRPr>
          </a:pPr>
        </a:p>
      </c:txPr>
    </c:legend>
    <c:plotVisOnly val="1"/>
  </c:chart>
  <c:spPr>
    <a:solidFill>
      <a:srgbClr val="FFFFFF"/>
    </a:solidFill>
    <a:ln w="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Noto Sans"/>
              </a:defRPr>
            </a:pPr>
            <a:r>
              <a:rPr sz="1300" b="0" u="none" strike="noStrike">
                <a:uFillTx/>
                <a:latin typeface="Noto Sans"/>
              </a:rPr>
              <a:t>Цена за единицу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Noto San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charts!$A$2:$A$13</c:f>
              <c:strCache>
                <c:ptCount val="12"/>
                <c:pt idx="0">
                  <c:v>12.66</c:v>
                </c:pt>
                <c:pt idx="1">
                  <c:v>24.94</c:v>
                </c:pt>
                <c:pt idx="2">
                  <c:v>37.22</c:v>
                </c:pt>
                <c:pt idx="3">
                  <c:v>49.5</c:v>
                </c:pt>
                <c:pt idx="4">
                  <c:v>61.79</c:v>
                </c:pt>
                <c:pt idx="5">
                  <c:v>74.07</c:v>
                </c:pt>
                <c:pt idx="6">
                  <c:v>86.35</c:v>
                </c:pt>
                <c:pt idx="7">
                  <c:v>98.63</c:v>
                </c:pt>
                <c:pt idx="8">
                  <c:v>110.91</c:v>
                </c:pt>
                <c:pt idx="9">
                  <c:v>123.19</c:v>
                </c:pt>
                <c:pt idx="10">
                  <c:v>135.48</c:v>
                </c:pt>
                <c:pt idx="11">
                  <c:v>150</c:v>
                </c:pt>
              </c:strCache>
            </c:strRef>
          </c:cat>
          <c:val>
            <c:numRef>
              <c:f>charts!$B$2:$B$13</c:f>
              <c:numCache>
                <c:formatCode>General</c:formatCode>
                <c:ptCount val="12"/>
                <c:pt idx="0">
                  <c:v>1</c:v>
                </c:pt>
                <c:pt idx="1">
                  <c:v>26</c:v>
                </c:pt>
                <c:pt idx="2">
                  <c:v>28</c:v>
                </c:pt>
                <c:pt idx="3">
                  <c:v>22</c:v>
                </c:pt>
                <c:pt idx="4">
                  <c:v>19</c:v>
                </c:pt>
                <c:pt idx="5">
                  <c:v>17</c:v>
                </c:pt>
                <c:pt idx="6">
                  <c:v>19</c:v>
                </c:pt>
                <c:pt idx="7">
                  <c:v>18</c:v>
                </c:pt>
                <c:pt idx="8">
                  <c:v>22</c:v>
                </c:pt>
                <c:pt idx="9">
                  <c:v>16</c:v>
                </c:pt>
                <c:pt idx="10">
                  <c:v>12</c:v>
                </c:pt>
                <c:pt idx="11">
                  <c:v>0</c:v>
                </c:pt>
              </c:numCache>
            </c:numRef>
          </c:val>
        </c:ser>
        <c:gapWidth val="0"/>
        <c:overlap val="0"/>
        <c:axId val="85485216"/>
        <c:axId val="74799747"/>
      </c:barChart>
      <c:catAx>
        <c:axId val="8548521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Noto Sans"/>
                  </a:defRPr>
                </a:pPr>
                <a:r>
                  <a:rPr sz="900" b="0" u="none" strike="noStrike">
                    <a:uFillTx/>
                    <a:latin typeface="Noto Sans"/>
                  </a:rPr>
                  <a:t>интервалы цен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Noto Sans"/>
              </a:defRPr>
            </a:pPr>
          </a:p>
        </c:txPr>
        <c:crossAx val="74799747"/>
        <c:crosses val="autoZero"/>
        <c:auto val="1"/>
        <c:lblAlgn val="ctr"/>
        <c:lblOffset val="100"/>
        <c:noMultiLvlLbl val="0"/>
      </c:catAx>
      <c:valAx>
        <c:axId val="7479974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Noto Sans"/>
                  </a:defRPr>
                </a:pPr>
                <a:r>
                  <a:rPr sz="900" b="0" u="none" strike="noStrike">
                    <a:uFillTx/>
                    <a:latin typeface="Noto Sans"/>
                  </a:rPr>
                  <a:t>количество товаров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Noto Sans"/>
              </a:defRPr>
            </a:pPr>
          </a:p>
        </c:txPr>
        <c:crossAx val="85485216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plotVisOnly val="1"/>
    <c:dispBlanksAs val="gap"/>
  </c:chart>
  <c:spPr>
    <a:solidFill>
      <a:srgbClr val="FFFFFF"/>
    </a:solidFill>
    <a:ln w="0">
      <a:noFill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13320</xdr:colOff>
      <xdr:row>15</xdr:row>
      <xdr:rowOff>10800</xdr:rowOff>
    </xdr:from>
    <xdr:to>
      <xdr:col>9</xdr:col>
      <xdr:colOff>83520</xdr:colOff>
      <xdr:row>32</xdr:row>
      <xdr:rowOff>152280</xdr:rowOff>
    </xdr:to>
    <xdr:graphicFrame>
      <xdr:nvGraphicFramePr>
        <xdr:cNvPr id="1" name=""/>
        <xdr:cNvGraphicFramePr/>
      </xdr:nvGraphicFramePr>
      <xdr:xfrm>
        <a:off x="2394000" y="280224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17280</xdr:colOff>
      <xdr:row>35</xdr:row>
      <xdr:rowOff>0</xdr:rowOff>
    </xdr:from>
    <xdr:to>
      <xdr:col>7</xdr:col>
      <xdr:colOff>424800</xdr:colOff>
      <xdr:row>49</xdr:row>
      <xdr:rowOff>128160</xdr:rowOff>
    </xdr:to>
    <xdr:graphicFrame>
      <xdr:nvGraphicFramePr>
        <xdr:cNvPr id="2" name=""/>
        <xdr:cNvGraphicFramePr/>
      </xdr:nvGraphicFramePr>
      <xdr:xfrm>
        <a:off x="2397960" y="6436440"/>
        <a:ext cx="4471560" cy="2679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</xdr:col>
      <xdr:colOff>36360</xdr:colOff>
      <xdr:row>1</xdr:row>
      <xdr:rowOff>36000</xdr:rowOff>
    </xdr:from>
    <xdr:to>
      <xdr:col>7</xdr:col>
      <xdr:colOff>46440</xdr:colOff>
      <xdr:row>13</xdr:row>
      <xdr:rowOff>140400</xdr:rowOff>
    </xdr:to>
    <xdr:graphicFrame>
      <xdr:nvGraphicFramePr>
        <xdr:cNvPr id="3" name=""/>
        <xdr:cNvGraphicFramePr/>
      </xdr:nvGraphicFramePr>
      <xdr:xfrm>
        <a:off x="2417040" y="276120"/>
        <a:ext cx="4074120" cy="2291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1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A1" activeCellId="0" sqref="A1"/>
    </sheetView>
  </sheetViews>
  <sheetFormatPr defaultColWidth="11.23046875" defaultRowHeight="14.35" customHeight="false" zeroHeight="false" outlineLevelRow="0" outlineLevelCol="0"/>
  <cols>
    <col collapsed="false" customWidth="true" hidden="false" outlineLevel="0" max="1" min="1" style="0" width="5.8"/>
    <col collapsed="false" customWidth="true" hidden="false" outlineLevel="0" max="2" min="2" style="0" width="21.26"/>
    <col collapsed="false" customWidth="true" hidden="false" outlineLevel="0" max="4" min="4" style="0" width="18.23"/>
    <col collapsed="false" customWidth="true" hidden="false" outlineLevel="0" max="5" min="5" style="0" width="18.39"/>
  </cols>
  <sheetData>
    <row r="1" customFormat="false" ht="41.7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14.35" hidden="false" customHeight="false" outlineLevel="0" collapsed="false">
      <c r="A2" s="0" t="n">
        <v>1</v>
      </c>
      <c r="B2" s="2" t="s">
        <v>9</v>
      </c>
      <c r="C2" s="2" t="s">
        <v>10</v>
      </c>
      <c r="D2" s="2" t="n">
        <v>21.29</v>
      </c>
      <c r="E2" s="2" t="n">
        <v>24.06</v>
      </c>
      <c r="F2" s="2" t="n">
        <v>85</v>
      </c>
      <c r="G2" s="2" t="n">
        <v>1809.65</v>
      </c>
      <c r="H2" s="2" t="n">
        <v>2045.1</v>
      </c>
      <c r="I2" s="2" t="n">
        <v>2.77</v>
      </c>
    </row>
    <row r="3" customFormat="false" ht="14.35" hidden="false" customHeight="false" outlineLevel="0" collapsed="false">
      <c r="A3" s="0" t="n">
        <v>2</v>
      </c>
      <c r="B3" s="2" t="s">
        <v>11</v>
      </c>
      <c r="C3" s="2" t="s">
        <v>10</v>
      </c>
      <c r="D3" s="2" t="n">
        <v>39.9</v>
      </c>
      <c r="E3" s="2" t="n">
        <v>49.48</v>
      </c>
      <c r="F3" s="2" t="n">
        <v>125</v>
      </c>
      <c r="G3" s="2" t="n">
        <v>4987.5</v>
      </c>
      <c r="H3" s="2" t="n">
        <v>6185</v>
      </c>
      <c r="I3" s="2" t="n">
        <v>9.58</v>
      </c>
    </row>
    <row r="4" customFormat="false" ht="14.35" hidden="false" customHeight="false" outlineLevel="0" collapsed="false">
      <c r="A4" s="0" t="n">
        <v>3</v>
      </c>
      <c r="B4" s="2" t="s">
        <v>12</v>
      </c>
      <c r="C4" s="2" t="s">
        <v>13</v>
      </c>
      <c r="D4" s="2" t="n">
        <v>34.14</v>
      </c>
      <c r="E4" s="2" t="n">
        <v>46.77</v>
      </c>
      <c r="F4" s="2" t="n">
        <v>126</v>
      </c>
      <c r="G4" s="2" t="n">
        <v>4301.64</v>
      </c>
      <c r="H4" s="2" t="n">
        <v>5893.02</v>
      </c>
      <c r="I4" s="2" t="n">
        <v>12.63</v>
      </c>
    </row>
    <row r="5" customFormat="false" ht="14.35" hidden="false" customHeight="false" outlineLevel="0" collapsed="false">
      <c r="A5" s="0" t="n">
        <v>4</v>
      </c>
      <c r="B5" s="2" t="s">
        <v>14</v>
      </c>
      <c r="C5" s="2" t="s">
        <v>15</v>
      </c>
      <c r="D5" s="2" t="n">
        <v>12.14</v>
      </c>
      <c r="E5" s="2" t="n">
        <v>16.75</v>
      </c>
      <c r="F5" s="2" t="n">
        <v>89</v>
      </c>
      <c r="G5" s="2" t="n">
        <v>1080.46</v>
      </c>
      <c r="H5" s="2" t="n">
        <v>1490.75</v>
      </c>
      <c r="I5" s="2" t="n">
        <v>4.61</v>
      </c>
    </row>
    <row r="6" customFormat="false" ht="14.35" hidden="false" customHeight="false" outlineLevel="0" collapsed="false">
      <c r="A6" s="0" t="n">
        <v>5</v>
      </c>
      <c r="B6" s="2" t="s">
        <v>16</v>
      </c>
      <c r="C6" s="2" t="s">
        <v>10</v>
      </c>
      <c r="D6" s="2" t="n">
        <v>12.52</v>
      </c>
      <c r="E6" s="2" t="n">
        <v>15.02</v>
      </c>
      <c r="F6" s="2" t="n">
        <v>58</v>
      </c>
      <c r="G6" s="2" t="n">
        <v>726.16</v>
      </c>
      <c r="H6" s="2" t="n">
        <v>871.16</v>
      </c>
      <c r="I6" s="2" t="n">
        <v>2.5</v>
      </c>
    </row>
    <row r="7" customFormat="false" ht="14.35" hidden="false" customHeight="false" outlineLevel="0" collapsed="false">
      <c r="A7" s="0" t="n">
        <v>6</v>
      </c>
      <c r="B7" s="2" t="s">
        <v>17</v>
      </c>
      <c r="C7" s="2" t="s">
        <v>10</v>
      </c>
      <c r="D7" s="2" t="n">
        <v>22.52</v>
      </c>
      <c r="E7" s="2" t="n">
        <v>30.4</v>
      </c>
      <c r="F7" s="2" t="n">
        <v>118</v>
      </c>
      <c r="G7" s="2" t="n">
        <v>2657.36</v>
      </c>
      <c r="H7" s="2" t="n">
        <v>3587.2</v>
      </c>
      <c r="I7" s="2" t="n">
        <v>7.88</v>
      </c>
    </row>
    <row r="8" customFormat="false" ht="14.35" hidden="false" customHeight="false" outlineLevel="0" collapsed="false">
      <c r="A8" s="0" t="n">
        <v>7</v>
      </c>
      <c r="B8" s="2" t="s">
        <v>18</v>
      </c>
      <c r="C8" s="2" t="s">
        <v>15</v>
      </c>
      <c r="D8" s="2" t="n">
        <v>69.17</v>
      </c>
      <c r="E8" s="2" t="n">
        <v>80.93</v>
      </c>
      <c r="F8" s="2" t="n">
        <v>116</v>
      </c>
      <c r="G8" s="2" t="n">
        <v>8023.72</v>
      </c>
      <c r="H8" s="2" t="n">
        <v>9387.88</v>
      </c>
      <c r="I8" s="2" t="n">
        <v>11.76</v>
      </c>
    </row>
    <row r="9" customFormat="false" ht="14.35" hidden="false" customHeight="false" outlineLevel="0" collapsed="false">
      <c r="A9" s="0" t="n">
        <v>8</v>
      </c>
      <c r="B9" s="2" t="s">
        <v>19</v>
      </c>
      <c r="C9" s="2" t="s">
        <v>10</v>
      </c>
      <c r="D9" s="2" t="n">
        <v>83.36</v>
      </c>
      <c r="E9" s="2" t="n">
        <v>94.2</v>
      </c>
      <c r="F9" s="2" t="n">
        <v>9</v>
      </c>
      <c r="G9" s="2" t="n">
        <v>750.24</v>
      </c>
      <c r="H9" s="2" t="n">
        <v>847.8</v>
      </c>
      <c r="I9" s="2" t="n">
        <v>10.84</v>
      </c>
    </row>
    <row r="10" customFormat="false" ht="14.35" hidden="false" customHeight="false" outlineLevel="0" collapsed="false">
      <c r="A10" s="0" t="n">
        <v>9</v>
      </c>
      <c r="B10" s="2" t="s">
        <v>20</v>
      </c>
      <c r="C10" s="2" t="s">
        <v>15</v>
      </c>
      <c r="D10" s="2" t="n">
        <v>67.45</v>
      </c>
      <c r="E10" s="2" t="n">
        <v>74.87</v>
      </c>
      <c r="F10" s="2" t="n">
        <v>68</v>
      </c>
      <c r="G10" s="2" t="n">
        <v>4586.6</v>
      </c>
      <c r="H10" s="2" t="n">
        <v>5091.16</v>
      </c>
      <c r="I10" s="2" t="n">
        <v>7.42</v>
      </c>
    </row>
    <row r="11" customFormat="false" ht="14.35" hidden="false" customHeight="false" outlineLevel="0" collapsed="false">
      <c r="A11" s="0" t="n">
        <v>10</v>
      </c>
      <c r="B11" s="2" t="s">
        <v>21</v>
      </c>
      <c r="C11" s="2" t="s">
        <v>15</v>
      </c>
      <c r="D11" s="2" t="n">
        <v>45.68</v>
      </c>
      <c r="E11" s="2" t="n">
        <v>61.21</v>
      </c>
      <c r="F11" s="2" t="n">
        <v>122</v>
      </c>
      <c r="G11" s="2" t="n">
        <v>5572.96</v>
      </c>
      <c r="H11" s="2" t="n">
        <v>7467.62</v>
      </c>
      <c r="I11" s="2" t="n">
        <v>15.53</v>
      </c>
    </row>
    <row r="12" customFormat="false" ht="14.35" hidden="false" customHeight="false" outlineLevel="0" collapsed="false">
      <c r="A12" s="0" t="n">
        <v>11</v>
      </c>
      <c r="B12" s="2" t="s">
        <v>22</v>
      </c>
      <c r="C12" s="2" t="s">
        <v>23</v>
      </c>
      <c r="D12" s="2" t="n">
        <v>23.32</v>
      </c>
      <c r="E12" s="2" t="n">
        <v>26.58</v>
      </c>
      <c r="F12" s="2" t="n">
        <v>119</v>
      </c>
      <c r="G12" s="2" t="n">
        <v>2775.08</v>
      </c>
      <c r="H12" s="2" t="n">
        <v>3163.02</v>
      </c>
      <c r="I12" s="2" t="n">
        <v>3.26</v>
      </c>
    </row>
    <row r="13" customFormat="false" ht="14.35" hidden="false" customHeight="false" outlineLevel="0" collapsed="false">
      <c r="A13" s="0" t="n">
        <v>12</v>
      </c>
      <c r="B13" s="2" t="s">
        <v>24</v>
      </c>
      <c r="C13" s="2" t="s">
        <v>23</v>
      </c>
      <c r="D13" s="2" t="n">
        <v>96.98</v>
      </c>
      <c r="E13" s="2" t="n">
        <v>108.62</v>
      </c>
      <c r="F13" s="2" t="n">
        <v>62</v>
      </c>
      <c r="G13" s="2" t="n">
        <v>6012.76</v>
      </c>
      <c r="H13" s="2" t="n">
        <v>6734.44</v>
      </c>
      <c r="I13" s="2" t="n">
        <v>11.64</v>
      </c>
    </row>
    <row r="14" customFormat="false" ht="14.35" hidden="false" customHeight="false" outlineLevel="0" collapsed="false">
      <c r="A14" s="0" t="n">
        <v>13</v>
      </c>
      <c r="B14" s="2" t="s">
        <v>25</v>
      </c>
      <c r="C14" s="2" t="s">
        <v>23</v>
      </c>
      <c r="D14" s="2" t="n">
        <v>88.86</v>
      </c>
      <c r="E14" s="2" t="n">
        <v>113.74</v>
      </c>
      <c r="F14" s="2" t="n">
        <v>92</v>
      </c>
      <c r="G14" s="2" t="n">
        <v>8175.12</v>
      </c>
      <c r="H14" s="2" t="n">
        <v>10464.08</v>
      </c>
      <c r="I14" s="2" t="n">
        <v>24.88</v>
      </c>
    </row>
    <row r="15" customFormat="false" ht="14.35" hidden="false" customHeight="false" outlineLevel="0" collapsed="false">
      <c r="A15" s="0" t="n">
        <v>14</v>
      </c>
      <c r="B15" s="2" t="s">
        <v>26</v>
      </c>
      <c r="C15" s="2" t="s">
        <v>10</v>
      </c>
      <c r="D15" s="2" t="n">
        <v>60.45</v>
      </c>
      <c r="E15" s="2" t="n">
        <v>84.03</v>
      </c>
      <c r="F15" s="2" t="n">
        <v>147</v>
      </c>
      <c r="G15" s="2" t="n">
        <v>8886.15</v>
      </c>
      <c r="H15" s="2" t="n">
        <v>12352.41</v>
      </c>
      <c r="I15" s="2" t="n">
        <v>23.58</v>
      </c>
    </row>
    <row r="16" customFormat="false" ht="14.35" hidden="false" customHeight="false" outlineLevel="0" collapsed="false">
      <c r="A16" s="0" t="n">
        <v>15</v>
      </c>
      <c r="B16" s="2" t="s">
        <v>27</v>
      </c>
      <c r="C16" s="2" t="s">
        <v>23</v>
      </c>
      <c r="D16" s="2" t="n">
        <v>28.96</v>
      </c>
      <c r="E16" s="2" t="n">
        <v>40.25</v>
      </c>
      <c r="F16" s="2" t="n">
        <v>107</v>
      </c>
      <c r="G16" s="2" t="n">
        <v>3098.72</v>
      </c>
      <c r="H16" s="2" t="n">
        <v>4306.75</v>
      </c>
      <c r="I16" s="2" t="n">
        <v>11.29</v>
      </c>
    </row>
    <row r="17" customFormat="false" ht="14.35" hidden="false" customHeight="false" outlineLevel="0" collapsed="false">
      <c r="A17" s="0" t="n">
        <v>16</v>
      </c>
      <c r="B17" s="2" t="s">
        <v>28</v>
      </c>
      <c r="C17" s="2" t="s">
        <v>23</v>
      </c>
      <c r="D17" s="2" t="n">
        <v>97.32</v>
      </c>
      <c r="E17" s="2" t="n">
        <v>121.65</v>
      </c>
      <c r="F17" s="2" t="n">
        <v>111</v>
      </c>
      <c r="G17" s="2" t="n">
        <v>10802.52</v>
      </c>
      <c r="H17" s="2" t="n">
        <v>13503.15</v>
      </c>
      <c r="I17" s="2" t="n">
        <v>24.33</v>
      </c>
    </row>
    <row r="18" customFormat="false" ht="14.35" hidden="false" customHeight="false" outlineLevel="0" collapsed="false">
      <c r="A18" s="0" t="n">
        <v>17</v>
      </c>
      <c r="B18" s="2" t="s">
        <v>29</v>
      </c>
      <c r="C18" s="2" t="s">
        <v>30</v>
      </c>
      <c r="D18" s="2" t="n">
        <v>61.64</v>
      </c>
      <c r="E18" s="2" t="n">
        <v>79.52</v>
      </c>
      <c r="F18" s="2" t="n">
        <v>15</v>
      </c>
      <c r="G18" s="2" t="n">
        <v>924.6</v>
      </c>
      <c r="H18" s="2" t="n">
        <v>1192.8</v>
      </c>
      <c r="I18" s="2" t="n">
        <v>17.88</v>
      </c>
    </row>
    <row r="19" customFormat="false" ht="14.35" hidden="false" customHeight="false" outlineLevel="0" collapsed="false">
      <c r="A19" s="0" t="n">
        <v>18</v>
      </c>
      <c r="B19" s="2" t="s">
        <v>31</v>
      </c>
      <c r="C19" s="2" t="s">
        <v>13</v>
      </c>
      <c r="D19" s="2" t="n">
        <v>84.43</v>
      </c>
      <c r="E19" s="2" t="n">
        <v>106.38</v>
      </c>
      <c r="F19" s="2" t="n">
        <v>108</v>
      </c>
      <c r="G19" s="2" t="n">
        <v>9118.44</v>
      </c>
      <c r="H19" s="2" t="n">
        <v>11489.04</v>
      </c>
      <c r="I19" s="2" t="n">
        <v>21.95</v>
      </c>
    </row>
    <row r="20" customFormat="false" ht="14.35" hidden="false" customHeight="false" outlineLevel="0" collapsed="false">
      <c r="A20" s="0" t="n">
        <v>19</v>
      </c>
      <c r="B20" s="2" t="s">
        <v>32</v>
      </c>
      <c r="C20" s="2" t="s">
        <v>10</v>
      </c>
      <c r="D20" s="2" t="n">
        <v>63.69</v>
      </c>
      <c r="E20" s="2" t="n">
        <v>86.62</v>
      </c>
      <c r="F20" s="2" t="n">
        <v>81</v>
      </c>
      <c r="G20" s="2" t="n">
        <v>5158.89</v>
      </c>
      <c r="H20" s="2" t="n">
        <v>7016.22</v>
      </c>
      <c r="I20" s="2" t="n">
        <v>22.93</v>
      </c>
    </row>
    <row r="21" customFormat="false" ht="14.35" hidden="false" customHeight="false" outlineLevel="0" collapsed="false">
      <c r="A21" s="0" t="n">
        <v>20</v>
      </c>
      <c r="B21" s="2" t="s">
        <v>33</v>
      </c>
      <c r="C21" s="2" t="s">
        <v>10</v>
      </c>
      <c r="D21" s="2" t="n">
        <v>24.75</v>
      </c>
      <c r="E21" s="2" t="n">
        <v>31.43</v>
      </c>
      <c r="F21" s="2" t="n">
        <v>128</v>
      </c>
      <c r="G21" s="2" t="n">
        <v>3168</v>
      </c>
      <c r="H21" s="2" t="n">
        <v>4023.04</v>
      </c>
      <c r="I21" s="2" t="n">
        <v>6.68</v>
      </c>
    </row>
    <row r="22" customFormat="false" ht="14.35" hidden="false" customHeight="false" outlineLevel="0" collapsed="false">
      <c r="A22" s="0" t="n">
        <v>21</v>
      </c>
      <c r="B22" s="2" t="s">
        <v>34</v>
      </c>
      <c r="C22" s="2" t="s">
        <v>23</v>
      </c>
      <c r="D22" s="2" t="n">
        <v>31.49</v>
      </c>
      <c r="E22" s="2" t="n">
        <v>35.58</v>
      </c>
      <c r="F22" s="2" t="n">
        <v>133</v>
      </c>
      <c r="G22" s="2" t="n">
        <v>4188.17</v>
      </c>
      <c r="H22" s="2" t="n">
        <v>4732.14</v>
      </c>
      <c r="I22" s="2" t="n">
        <v>4.09</v>
      </c>
    </row>
    <row r="23" customFormat="false" ht="14.35" hidden="false" customHeight="false" outlineLevel="0" collapsed="false">
      <c r="A23" s="0" t="n">
        <v>22</v>
      </c>
      <c r="B23" s="2" t="s">
        <v>35</v>
      </c>
      <c r="C23" s="2" t="s">
        <v>13</v>
      </c>
      <c r="D23" s="2" t="n">
        <v>98.33</v>
      </c>
      <c r="E23" s="2" t="n">
        <v>132.75</v>
      </c>
      <c r="F23" s="2" t="n">
        <v>52</v>
      </c>
      <c r="G23" s="2" t="n">
        <v>5113.16</v>
      </c>
      <c r="H23" s="2" t="n">
        <v>6903</v>
      </c>
      <c r="I23" s="2" t="n">
        <v>34.42</v>
      </c>
    </row>
    <row r="24" customFormat="false" ht="14.35" hidden="false" customHeight="false" outlineLevel="0" collapsed="false">
      <c r="A24" s="0" t="n">
        <v>23</v>
      </c>
      <c r="B24" s="2" t="s">
        <v>36</v>
      </c>
      <c r="C24" s="2" t="s">
        <v>30</v>
      </c>
      <c r="D24" s="2" t="n">
        <v>72.91</v>
      </c>
      <c r="E24" s="2" t="n">
        <v>83.12</v>
      </c>
      <c r="F24" s="2" t="n">
        <v>6</v>
      </c>
      <c r="G24" s="2" t="n">
        <v>437.46</v>
      </c>
      <c r="H24" s="2" t="n">
        <v>498.72</v>
      </c>
      <c r="I24" s="2" t="n">
        <v>10.21</v>
      </c>
    </row>
    <row r="25" customFormat="false" ht="14.35" hidden="false" customHeight="false" outlineLevel="0" collapsed="false">
      <c r="A25" s="0" t="n">
        <v>24</v>
      </c>
      <c r="B25" s="2" t="s">
        <v>37</v>
      </c>
      <c r="C25" s="2" t="s">
        <v>13</v>
      </c>
      <c r="D25" s="2" t="n">
        <v>45.82</v>
      </c>
      <c r="E25" s="2" t="n">
        <v>56.82</v>
      </c>
      <c r="F25" s="2" t="n">
        <v>68</v>
      </c>
      <c r="G25" s="2" t="n">
        <v>3115.76</v>
      </c>
      <c r="H25" s="2" t="n">
        <v>3863.76</v>
      </c>
      <c r="I25" s="2" t="n">
        <v>11</v>
      </c>
    </row>
    <row r="26" customFormat="false" ht="14.35" hidden="false" customHeight="false" outlineLevel="0" collapsed="false">
      <c r="A26" s="0" t="n">
        <v>25</v>
      </c>
      <c r="B26" s="2" t="s">
        <v>38</v>
      </c>
      <c r="C26" s="2" t="s">
        <v>30</v>
      </c>
      <c r="D26" s="2" t="n">
        <v>24.06</v>
      </c>
      <c r="E26" s="2" t="n">
        <v>30.32</v>
      </c>
      <c r="F26" s="2" t="n">
        <v>31</v>
      </c>
      <c r="G26" s="2" t="n">
        <v>745.86</v>
      </c>
      <c r="H26" s="2" t="n">
        <v>939.92</v>
      </c>
      <c r="I26" s="2" t="n">
        <v>6.26</v>
      </c>
    </row>
    <row r="27" customFormat="false" ht="14.35" hidden="false" customHeight="false" outlineLevel="0" collapsed="false">
      <c r="A27" s="0" t="n">
        <v>26</v>
      </c>
      <c r="B27" s="2" t="s">
        <v>39</v>
      </c>
      <c r="C27" s="2" t="s">
        <v>15</v>
      </c>
      <c r="D27" s="2" t="n">
        <v>89.33</v>
      </c>
      <c r="E27" s="2" t="n">
        <v>124.17</v>
      </c>
      <c r="F27" s="2" t="n">
        <v>45</v>
      </c>
      <c r="G27" s="2" t="n">
        <v>4019.85</v>
      </c>
      <c r="H27" s="2" t="n">
        <v>5587.65</v>
      </c>
      <c r="I27" s="2" t="n">
        <v>34.84</v>
      </c>
    </row>
    <row r="28" customFormat="false" ht="14.35" hidden="false" customHeight="false" outlineLevel="0" collapsed="false">
      <c r="A28" s="0" t="n">
        <v>27</v>
      </c>
      <c r="B28" s="2" t="s">
        <v>40</v>
      </c>
      <c r="C28" s="2" t="s">
        <v>23</v>
      </c>
      <c r="D28" s="2" t="n">
        <v>23.94</v>
      </c>
      <c r="E28" s="2" t="n">
        <v>30.64</v>
      </c>
      <c r="F28" s="2" t="n">
        <v>124</v>
      </c>
      <c r="G28" s="2" t="n">
        <v>2968.56</v>
      </c>
      <c r="H28" s="2" t="n">
        <v>3799.36</v>
      </c>
      <c r="I28" s="2" t="n">
        <v>6.7</v>
      </c>
    </row>
    <row r="29" customFormat="false" ht="14.35" hidden="false" customHeight="false" outlineLevel="0" collapsed="false">
      <c r="A29" s="0" t="n">
        <v>28</v>
      </c>
      <c r="B29" s="2" t="s">
        <v>41</v>
      </c>
      <c r="C29" s="2" t="s">
        <v>15</v>
      </c>
      <c r="D29" s="2" t="n">
        <v>82.36</v>
      </c>
      <c r="E29" s="2" t="n">
        <v>107.89</v>
      </c>
      <c r="F29" s="2" t="n">
        <v>101</v>
      </c>
      <c r="G29" s="2" t="n">
        <v>8318.36</v>
      </c>
      <c r="H29" s="2" t="n">
        <v>10896.89</v>
      </c>
      <c r="I29" s="2" t="n">
        <v>25.53</v>
      </c>
    </row>
    <row r="30" customFormat="false" ht="14.35" hidden="false" customHeight="false" outlineLevel="0" collapsed="false">
      <c r="A30" s="0" t="n">
        <v>29</v>
      </c>
      <c r="B30" s="2" t="s">
        <v>42</v>
      </c>
      <c r="C30" s="2" t="s">
        <v>10</v>
      </c>
      <c r="D30" s="2" t="n">
        <v>37.8</v>
      </c>
      <c r="E30" s="2" t="n">
        <v>42.71</v>
      </c>
      <c r="F30" s="2" t="n">
        <v>123</v>
      </c>
      <c r="G30" s="2" t="n">
        <v>4649.4</v>
      </c>
      <c r="H30" s="2" t="n">
        <v>5253.33</v>
      </c>
      <c r="I30" s="2" t="n">
        <v>4.91</v>
      </c>
    </row>
    <row r="31" customFormat="false" ht="14.35" hidden="false" customHeight="false" outlineLevel="0" collapsed="false">
      <c r="A31" s="0" t="n">
        <v>30</v>
      </c>
      <c r="B31" s="2" t="s">
        <v>43</v>
      </c>
      <c r="C31" s="2" t="s">
        <v>10</v>
      </c>
      <c r="D31" s="2" t="n">
        <v>79.79</v>
      </c>
      <c r="E31" s="2" t="n">
        <v>89.36</v>
      </c>
      <c r="F31" s="2" t="n">
        <v>106</v>
      </c>
      <c r="G31" s="2" t="n">
        <v>8457.74</v>
      </c>
      <c r="H31" s="2" t="n">
        <v>9472.16</v>
      </c>
      <c r="I31" s="2" t="n">
        <v>9.56999999999999</v>
      </c>
    </row>
    <row r="32" customFormat="false" ht="14.35" hidden="false" customHeight="false" outlineLevel="0" collapsed="false">
      <c r="A32" s="0" t="n">
        <v>31</v>
      </c>
      <c r="B32" s="2" t="s">
        <v>44</v>
      </c>
      <c r="C32" s="2" t="s">
        <v>13</v>
      </c>
      <c r="D32" s="2" t="n">
        <v>13.08</v>
      </c>
      <c r="E32" s="2" t="n">
        <v>17.79</v>
      </c>
      <c r="F32" s="2" t="n">
        <v>48</v>
      </c>
      <c r="G32" s="2" t="n">
        <v>627.84</v>
      </c>
      <c r="H32" s="2" t="n">
        <v>853.92</v>
      </c>
      <c r="I32" s="2" t="n">
        <v>4.71</v>
      </c>
    </row>
    <row r="33" customFormat="false" ht="14.35" hidden="false" customHeight="false" outlineLevel="0" collapsed="false">
      <c r="A33" s="0" t="n">
        <v>32</v>
      </c>
      <c r="B33" s="2" t="s">
        <v>45</v>
      </c>
      <c r="C33" s="2" t="s">
        <v>15</v>
      </c>
      <c r="D33" s="2" t="n">
        <v>60.1</v>
      </c>
      <c r="E33" s="2" t="n">
        <v>68.51</v>
      </c>
      <c r="F33" s="2" t="n">
        <v>62</v>
      </c>
      <c r="G33" s="2" t="n">
        <v>3726.2</v>
      </c>
      <c r="H33" s="2" t="n">
        <v>4247.62</v>
      </c>
      <c r="I33" s="2" t="n">
        <v>8.41</v>
      </c>
    </row>
    <row r="34" customFormat="false" ht="14.35" hidden="false" customHeight="false" outlineLevel="0" collapsed="false">
      <c r="A34" s="0" t="n">
        <v>33</v>
      </c>
      <c r="B34" s="2" t="s">
        <v>46</v>
      </c>
      <c r="C34" s="2" t="s">
        <v>10</v>
      </c>
      <c r="D34" s="2" t="n">
        <v>86.84</v>
      </c>
      <c r="E34" s="2" t="n">
        <v>99</v>
      </c>
      <c r="F34" s="2" t="n">
        <v>55</v>
      </c>
      <c r="G34" s="2" t="n">
        <v>4776.2</v>
      </c>
      <c r="H34" s="2" t="n">
        <v>5445</v>
      </c>
      <c r="I34" s="2" t="n">
        <v>12.16</v>
      </c>
    </row>
    <row r="35" customFormat="false" ht="14.35" hidden="false" customHeight="false" outlineLevel="0" collapsed="false">
      <c r="A35" s="0" t="n">
        <v>34</v>
      </c>
      <c r="B35" s="2" t="s">
        <v>47</v>
      </c>
      <c r="C35" s="2" t="s">
        <v>15</v>
      </c>
      <c r="D35" s="2" t="n">
        <v>14.17</v>
      </c>
      <c r="E35" s="2" t="n">
        <v>16.72</v>
      </c>
      <c r="F35" s="2" t="n">
        <v>80</v>
      </c>
      <c r="G35" s="2" t="n">
        <v>1133.6</v>
      </c>
      <c r="H35" s="2" t="n">
        <v>1337.6</v>
      </c>
      <c r="I35" s="2" t="n">
        <v>2.55</v>
      </c>
    </row>
    <row r="36" customFormat="false" ht="14.35" hidden="false" customHeight="false" outlineLevel="0" collapsed="false">
      <c r="A36" s="0" t="n">
        <v>35</v>
      </c>
      <c r="B36" s="2" t="s">
        <v>48</v>
      </c>
      <c r="C36" s="2" t="s">
        <v>13</v>
      </c>
      <c r="D36" s="2" t="n">
        <v>35.71</v>
      </c>
      <c r="E36" s="2" t="n">
        <v>48.21</v>
      </c>
      <c r="F36" s="2" t="n">
        <v>17</v>
      </c>
      <c r="G36" s="2" t="n">
        <v>607.07</v>
      </c>
      <c r="H36" s="2" t="n">
        <v>819.57</v>
      </c>
      <c r="I36" s="2" t="n">
        <v>12.5</v>
      </c>
    </row>
    <row r="37" customFormat="false" ht="14.35" hidden="false" customHeight="false" outlineLevel="0" collapsed="false">
      <c r="A37" s="0" t="n">
        <v>36</v>
      </c>
      <c r="B37" s="2" t="s">
        <v>49</v>
      </c>
      <c r="C37" s="2" t="s">
        <v>30</v>
      </c>
      <c r="D37" s="2" t="n">
        <v>43.41</v>
      </c>
      <c r="E37" s="2" t="n">
        <v>49.05</v>
      </c>
      <c r="F37" s="2" t="n">
        <v>121</v>
      </c>
      <c r="G37" s="2" t="n">
        <v>5252.61</v>
      </c>
      <c r="H37" s="2" t="n">
        <v>5935.05</v>
      </c>
      <c r="I37" s="2" t="n">
        <v>5.64</v>
      </c>
    </row>
    <row r="38" customFormat="false" ht="14.35" hidden="false" customHeight="false" outlineLevel="0" collapsed="false">
      <c r="A38" s="0" t="n">
        <v>37</v>
      </c>
      <c r="B38" s="2" t="s">
        <v>50</v>
      </c>
      <c r="C38" s="2" t="s">
        <v>23</v>
      </c>
      <c r="D38" s="2" t="n">
        <v>20.74</v>
      </c>
      <c r="E38" s="2" t="n">
        <v>23.44</v>
      </c>
      <c r="F38" s="2" t="n">
        <v>44</v>
      </c>
      <c r="G38" s="2" t="n">
        <v>912.56</v>
      </c>
      <c r="H38" s="2" t="n">
        <v>1031.36</v>
      </c>
      <c r="I38" s="2" t="n">
        <v>2.7</v>
      </c>
    </row>
    <row r="39" customFormat="false" ht="14.35" hidden="false" customHeight="false" outlineLevel="0" collapsed="false">
      <c r="A39" s="0" t="n">
        <v>38</v>
      </c>
      <c r="B39" s="2" t="s">
        <v>51</v>
      </c>
      <c r="C39" s="2" t="s">
        <v>30</v>
      </c>
      <c r="D39" s="2" t="n">
        <v>12.87</v>
      </c>
      <c r="E39" s="2" t="n">
        <v>17.5</v>
      </c>
      <c r="F39" s="2" t="n">
        <v>102</v>
      </c>
      <c r="G39" s="2" t="n">
        <v>1312.74</v>
      </c>
      <c r="H39" s="2" t="n">
        <v>1785</v>
      </c>
      <c r="I39" s="2" t="n">
        <v>4.63</v>
      </c>
    </row>
    <row r="40" customFormat="false" ht="14.35" hidden="false" customHeight="false" outlineLevel="0" collapsed="false">
      <c r="A40" s="0" t="n">
        <v>39</v>
      </c>
      <c r="B40" s="2" t="s">
        <v>52</v>
      </c>
      <c r="C40" s="2" t="s">
        <v>13</v>
      </c>
      <c r="D40" s="2" t="n">
        <v>37.19</v>
      </c>
      <c r="E40" s="2" t="n">
        <v>41.65</v>
      </c>
      <c r="F40" s="2" t="n">
        <v>90</v>
      </c>
      <c r="G40" s="2" t="n">
        <v>3347.1</v>
      </c>
      <c r="H40" s="2" t="n">
        <v>3748.5</v>
      </c>
      <c r="I40" s="2" t="n">
        <v>4.46</v>
      </c>
    </row>
    <row r="41" customFormat="false" ht="14.35" hidden="false" customHeight="false" outlineLevel="0" collapsed="false">
      <c r="A41" s="0" t="n">
        <v>40</v>
      </c>
      <c r="B41" s="2" t="s">
        <v>53</v>
      </c>
      <c r="C41" s="2" t="s">
        <v>15</v>
      </c>
      <c r="D41" s="2" t="n">
        <v>23.07</v>
      </c>
      <c r="E41" s="2" t="n">
        <v>29.53</v>
      </c>
      <c r="F41" s="2" t="n">
        <v>25</v>
      </c>
      <c r="G41" s="2" t="n">
        <v>576.75</v>
      </c>
      <c r="H41" s="2" t="n">
        <v>738.25</v>
      </c>
      <c r="I41" s="2" t="n">
        <v>6.46</v>
      </c>
    </row>
    <row r="42" customFormat="false" ht="14.35" hidden="false" customHeight="false" outlineLevel="0" collapsed="false">
      <c r="A42" s="0" t="n">
        <v>41</v>
      </c>
      <c r="B42" s="2" t="s">
        <v>54</v>
      </c>
      <c r="C42" s="2" t="s">
        <v>13</v>
      </c>
      <c r="D42" s="2" t="n">
        <v>80.36</v>
      </c>
      <c r="E42" s="2" t="n">
        <v>101.25</v>
      </c>
      <c r="F42" s="2" t="n">
        <v>27</v>
      </c>
      <c r="G42" s="2" t="n">
        <v>2169.72</v>
      </c>
      <c r="H42" s="2" t="n">
        <v>2733.75</v>
      </c>
      <c r="I42" s="2" t="n">
        <v>20.89</v>
      </c>
    </row>
    <row r="43" customFormat="false" ht="14.35" hidden="false" customHeight="false" outlineLevel="0" collapsed="false">
      <c r="A43" s="0" t="n">
        <v>42</v>
      </c>
      <c r="B43" s="2" t="s">
        <v>55</v>
      </c>
      <c r="C43" s="2" t="s">
        <v>30</v>
      </c>
      <c r="D43" s="2" t="n">
        <v>81.23</v>
      </c>
      <c r="E43" s="2" t="n">
        <v>99.91</v>
      </c>
      <c r="F43" s="2" t="n">
        <v>75</v>
      </c>
      <c r="G43" s="2" t="n">
        <v>6092.25</v>
      </c>
      <c r="H43" s="2" t="n">
        <v>7493.25</v>
      </c>
      <c r="I43" s="2" t="n">
        <v>18.68</v>
      </c>
    </row>
    <row r="44" customFormat="false" ht="14.35" hidden="false" customHeight="false" outlineLevel="0" collapsed="false">
      <c r="A44" s="0" t="n">
        <v>43</v>
      </c>
      <c r="B44" s="2" t="s">
        <v>56</v>
      </c>
      <c r="C44" s="2" t="s">
        <v>23</v>
      </c>
      <c r="D44" s="2" t="n">
        <v>97.32</v>
      </c>
      <c r="E44" s="2" t="n">
        <v>116.78</v>
      </c>
      <c r="F44" s="2" t="n">
        <v>141</v>
      </c>
      <c r="G44" s="2" t="n">
        <v>13722.12</v>
      </c>
      <c r="H44" s="2" t="n">
        <v>16465.98</v>
      </c>
      <c r="I44" s="2" t="n">
        <v>19.46</v>
      </c>
    </row>
    <row r="45" customFormat="false" ht="14.35" hidden="false" customHeight="false" outlineLevel="0" collapsed="false">
      <c r="A45" s="0" t="n">
        <v>44</v>
      </c>
      <c r="B45" s="2" t="s">
        <v>57</v>
      </c>
      <c r="C45" s="2" t="s">
        <v>23</v>
      </c>
      <c r="D45" s="2" t="n">
        <v>13.5</v>
      </c>
      <c r="E45" s="2" t="n">
        <v>17.55</v>
      </c>
      <c r="F45" s="2" t="n">
        <v>65</v>
      </c>
      <c r="G45" s="2" t="n">
        <v>877.5</v>
      </c>
      <c r="H45" s="2" t="n">
        <v>1140.75</v>
      </c>
      <c r="I45" s="2" t="n">
        <v>4.05</v>
      </c>
    </row>
    <row r="46" customFormat="false" ht="14.35" hidden="false" customHeight="false" outlineLevel="0" collapsed="false">
      <c r="A46" s="0" t="n">
        <v>45</v>
      </c>
      <c r="B46" s="2" t="s">
        <v>58</v>
      </c>
      <c r="C46" s="2" t="s">
        <v>15</v>
      </c>
      <c r="D46" s="2" t="n">
        <v>36.38</v>
      </c>
      <c r="E46" s="2" t="n">
        <v>40.75</v>
      </c>
      <c r="F46" s="2" t="n">
        <v>72</v>
      </c>
      <c r="G46" s="2" t="n">
        <v>2619.36</v>
      </c>
      <c r="H46" s="2" t="n">
        <v>2934</v>
      </c>
      <c r="I46" s="2" t="n">
        <v>4.37</v>
      </c>
    </row>
    <row r="47" customFormat="false" ht="14.35" hidden="false" customHeight="false" outlineLevel="0" collapsed="false">
      <c r="A47" s="0" t="n">
        <v>46</v>
      </c>
      <c r="B47" s="2" t="s">
        <v>59</v>
      </c>
      <c r="C47" s="2" t="s">
        <v>13</v>
      </c>
      <c r="D47" s="2" t="n">
        <v>77.01</v>
      </c>
      <c r="E47" s="2" t="n">
        <v>85.48</v>
      </c>
      <c r="F47" s="2" t="n">
        <v>45</v>
      </c>
      <c r="G47" s="2" t="n">
        <v>3465.45</v>
      </c>
      <c r="H47" s="2" t="n">
        <v>3846.6</v>
      </c>
      <c r="I47" s="2" t="n">
        <v>8.47</v>
      </c>
    </row>
    <row r="48" customFormat="false" ht="14.35" hidden="false" customHeight="false" outlineLevel="0" collapsed="false">
      <c r="A48" s="0" t="n">
        <v>47</v>
      </c>
      <c r="B48" s="2" t="s">
        <v>60</v>
      </c>
      <c r="C48" s="2" t="s">
        <v>13</v>
      </c>
      <c r="D48" s="2" t="n">
        <v>74.82</v>
      </c>
      <c r="E48" s="2" t="n">
        <v>84.55</v>
      </c>
      <c r="F48" s="2" t="n">
        <v>31</v>
      </c>
      <c r="G48" s="2" t="n">
        <v>2319.42</v>
      </c>
      <c r="H48" s="2" t="n">
        <v>2621.05</v>
      </c>
      <c r="I48" s="2" t="n">
        <v>9.73</v>
      </c>
    </row>
    <row r="49" customFormat="false" ht="14.35" hidden="false" customHeight="false" outlineLevel="0" collapsed="false">
      <c r="A49" s="0" t="n">
        <v>48</v>
      </c>
      <c r="B49" s="2" t="s">
        <v>61</v>
      </c>
      <c r="C49" s="2" t="s">
        <v>30</v>
      </c>
      <c r="D49" s="2" t="n">
        <v>22.59</v>
      </c>
      <c r="E49" s="2" t="n">
        <v>27.33</v>
      </c>
      <c r="F49" s="2" t="n">
        <v>106</v>
      </c>
      <c r="G49" s="2" t="n">
        <v>2394.54</v>
      </c>
      <c r="H49" s="2" t="n">
        <v>2896.98</v>
      </c>
      <c r="I49" s="2" t="n">
        <v>4.74</v>
      </c>
    </row>
    <row r="50" customFormat="false" ht="14.35" hidden="false" customHeight="false" outlineLevel="0" collapsed="false">
      <c r="A50" s="0" t="n">
        <v>49</v>
      </c>
      <c r="B50" s="2" t="s">
        <v>62</v>
      </c>
      <c r="C50" s="2" t="s">
        <v>15</v>
      </c>
      <c r="D50" s="2" t="n">
        <v>78.82</v>
      </c>
      <c r="E50" s="2" t="n">
        <v>86.7</v>
      </c>
      <c r="F50" s="2" t="n">
        <v>76</v>
      </c>
      <c r="G50" s="2" t="n">
        <v>5990.32</v>
      </c>
      <c r="H50" s="2" t="n">
        <v>6589.2</v>
      </c>
      <c r="I50" s="2" t="n">
        <v>7.88000000000001</v>
      </c>
    </row>
    <row r="51" customFormat="false" ht="14.35" hidden="false" customHeight="false" outlineLevel="0" collapsed="false">
      <c r="A51" s="0" t="n">
        <v>50</v>
      </c>
      <c r="B51" s="2" t="s">
        <v>63</v>
      </c>
      <c r="C51" s="2" t="s">
        <v>23</v>
      </c>
      <c r="D51" s="2" t="n">
        <v>65</v>
      </c>
      <c r="E51" s="2" t="n">
        <v>79.95</v>
      </c>
      <c r="F51" s="2" t="n">
        <v>117</v>
      </c>
      <c r="G51" s="2" t="n">
        <v>7605</v>
      </c>
      <c r="H51" s="2" t="n">
        <v>9354.15</v>
      </c>
      <c r="I51" s="2" t="n">
        <v>14.95</v>
      </c>
    </row>
    <row r="52" customFormat="false" ht="14.35" hidden="false" customHeight="false" outlineLevel="0" collapsed="false">
      <c r="A52" s="0" t="n">
        <v>51</v>
      </c>
      <c r="B52" s="2" t="s">
        <v>64</v>
      </c>
      <c r="C52" s="2" t="s">
        <v>30</v>
      </c>
      <c r="D52" s="2" t="n">
        <v>44.42</v>
      </c>
      <c r="E52" s="2" t="n">
        <v>52.86</v>
      </c>
      <c r="F52" s="2" t="n">
        <v>116</v>
      </c>
      <c r="G52" s="2" t="n">
        <v>5152.72</v>
      </c>
      <c r="H52" s="2" t="n">
        <v>6131.76</v>
      </c>
      <c r="I52" s="2" t="n">
        <v>8.44</v>
      </c>
    </row>
    <row r="53" customFormat="false" ht="14.35" hidden="false" customHeight="false" outlineLevel="0" collapsed="false">
      <c r="A53" s="0" t="n">
        <v>52</v>
      </c>
      <c r="B53" s="2" t="s">
        <v>65</v>
      </c>
      <c r="C53" s="2" t="s">
        <v>10</v>
      </c>
      <c r="D53" s="2" t="n">
        <v>94.63</v>
      </c>
      <c r="E53" s="2" t="n">
        <v>131.54</v>
      </c>
      <c r="F53" s="2" t="n">
        <v>133</v>
      </c>
      <c r="G53" s="2" t="n">
        <v>12585.79</v>
      </c>
      <c r="H53" s="2" t="n">
        <v>17494.82</v>
      </c>
      <c r="I53" s="2" t="n">
        <v>36.91</v>
      </c>
    </row>
    <row r="54" customFormat="false" ht="14.35" hidden="false" customHeight="false" outlineLevel="0" collapsed="false">
      <c r="A54" s="0" t="n">
        <v>53</v>
      </c>
      <c r="B54" s="2" t="s">
        <v>66</v>
      </c>
      <c r="C54" s="2" t="s">
        <v>15</v>
      </c>
      <c r="D54" s="2" t="n">
        <v>32.85</v>
      </c>
      <c r="E54" s="2" t="n">
        <v>36.46</v>
      </c>
      <c r="F54" s="2" t="n">
        <v>102</v>
      </c>
      <c r="G54" s="2" t="n">
        <v>3350.7</v>
      </c>
      <c r="H54" s="2" t="n">
        <v>3718.92</v>
      </c>
      <c r="I54" s="2" t="n">
        <v>3.61</v>
      </c>
    </row>
    <row r="55" customFormat="false" ht="14.35" hidden="false" customHeight="false" outlineLevel="0" collapsed="false">
      <c r="A55" s="0" t="n">
        <v>54</v>
      </c>
      <c r="B55" s="2" t="s">
        <v>67</v>
      </c>
      <c r="C55" s="2" t="s">
        <v>13</v>
      </c>
      <c r="D55" s="2" t="n">
        <v>32.29</v>
      </c>
      <c r="E55" s="2" t="n">
        <v>42.95</v>
      </c>
      <c r="F55" s="2" t="n">
        <v>111</v>
      </c>
      <c r="G55" s="2" t="n">
        <v>3584.19</v>
      </c>
      <c r="H55" s="2" t="n">
        <v>4767.45</v>
      </c>
      <c r="I55" s="2" t="n">
        <v>10.66</v>
      </c>
    </row>
    <row r="56" customFormat="false" ht="14.35" hidden="false" customHeight="false" outlineLevel="0" collapsed="false">
      <c r="A56" s="0" t="n">
        <v>55</v>
      </c>
      <c r="B56" s="2" t="s">
        <v>68</v>
      </c>
      <c r="C56" s="2" t="s">
        <v>23</v>
      </c>
      <c r="D56" s="2" t="n">
        <v>36.43</v>
      </c>
      <c r="E56" s="2" t="n">
        <v>47.36</v>
      </c>
      <c r="F56" s="2" t="n">
        <v>125</v>
      </c>
      <c r="G56" s="2" t="n">
        <v>4553.75</v>
      </c>
      <c r="H56" s="2" t="n">
        <v>5920</v>
      </c>
      <c r="I56" s="2" t="n">
        <v>10.93</v>
      </c>
    </row>
    <row r="57" customFormat="false" ht="14.35" hidden="false" customHeight="false" outlineLevel="0" collapsed="false">
      <c r="A57" s="0" t="n">
        <v>56</v>
      </c>
      <c r="B57" s="2" t="s">
        <v>69</v>
      </c>
      <c r="C57" s="2" t="s">
        <v>23</v>
      </c>
      <c r="D57" s="2" t="n">
        <v>10.26</v>
      </c>
      <c r="E57" s="2" t="n">
        <v>13.85</v>
      </c>
      <c r="F57" s="2" t="n">
        <v>138</v>
      </c>
      <c r="G57" s="2" t="n">
        <v>1415.88</v>
      </c>
      <c r="H57" s="2" t="n">
        <v>1911.3</v>
      </c>
      <c r="I57" s="2" t="n">
        <v>3.59</v>
      </c>
    </row>
    <row r="58" customFormat="false" ht="14.35" hidden="false" customHeight="false" outlineLevel="0" collapsed="false">
      <c r="A58" s="0" t="n">
        <v>57</v>
      </c>
      <c r="B58" s="2" t="s">
        <v>70</v>
      </c>
      <c r="C58" s="2" t="s">
        <v>10</v>
      </c>
      <c r="D58" s="2" t="n">
        <v>50.48</v>
      </c>
      <c r="E58" s="2" t="n">
        <v>62.09</v>
      </c>
      <c r="F58" s="2" t="n">
        <v>85</v>
      </c>
      <c r="G58" s="2" t="n">
        <v>4290.8</v>
      </c>
      <c r="H58" s="2" t="n">
        <v>5277.65</v>
      </c>
      <c r="I58" s="2" t="n">
        <v>11.61</v>
      </c>
    </row>
    <row r="59" customFormat="false" ht="14.35" hidden="false" customHeight="false" outlineLevel="0" collapsed="false">
      <c r="A59" s="0" t="n">
        <v>58</v>
      </c>
      <c r="B59" s="2" t="s">
        <v>71</v>
      </c>
      <c r="C59" s="2" t="s">
        <v>30</v>
      </c>
      <c r="D59" s="2" t="n">
        <v>69.27</v>
      </c>
      <c r="E59" s="2" t="n">
        <v>90.74</v>
      </c>
      <c r="F59" s="2" t="n">
        <v>86</v>
      </c>
      <c r="G59" s="2" t="n">
        <v>5957.22</v>
      </c>
      <c r="H59" s="2" t="n">
        <v>7803.64</v>
      </c>
      <c r="I59" s="2" t="n">
        <v>21.47</v>
      </c>
    </row>
    <row r="60" customFormat="false" ht="14.35" hidden="false" customHeight="false" outlineLevel="0" collapsed="false">
      <c r="A60" s="0" t="n">
        <v>59</v>
      </c>
      <c r="B60" s="2" t="s">
        <v>72</v>
      </c>
      <c r="C60" s="2" t="s">
        <v>30</v>
      </c>
      <c r="D60" s="2" t="n">
        <v>39.22</v>
      </c>
      <c r="E60" s="2" t="n">
        <v>52.95</v>
      </c>
      <c r="F60" s="2" t="n">
        <v>96</v>
      </c>
      <c r="G60" s="2" t="n">
        <v>3765.12</v>
      </c>
      <c r="H60" s="2" t="n">
        <v>5083.2</v>
      </c>
      <c r="I60" s="2" t="n">
        <v>13.73</v>
      </c>
    </row>
    <row r="61" customFormat="false" ht="14.35" hidden="false" customHeight="false" outlineLevel="0" collapsed="false">
      <c r="A61" s="0" t="n">
        <v>60</v>
      </c>
      <c r="B61" s="2" t="s">
        <v>73</v>
      </c>
      <c r="C61" s="2" t="s">
        <v>13</v>
      </c>
      <c r="D61" s="2" t="n">
        <v>52.6</v>
      </c>
      <c r="E61" s="2" t="n">
        <v>71.54</v>
      </c>
      <c r="F61" s="2" t="n">
        <v>146</v>
      </c>
      <c r="G61" s="2" t="n">
        <v>7679.6</v>
      </c>
      <c r="H61" s="2" t="n">
        <v>10444.84</v>
      </c>
      <c r="I61" s="2" t="n">
        <v>18.94</v>
      </c>
    </row>
    <row r="62" customFormat="false" ht="14.35" hidden="false" customHeight="false" outlineLevel="0" collapsed="false">
      <c r="A62" s="0" t="n">
        <v>61</v>
      </c>
      <c r="B62" s="2" t="s">
        <v>74</v>
      </c>
      <c r="C62" s="2" t="s">
        <v>13</v>
      </c>
      <c r="D62" s="2" t="n">
        <v>41.68</v>
      </c>
      <c r="E62" s="2" t="n">
        <v>57.94</v>
      </c>
      <c r="F62" s="2" t="n">
        <v>92</v>
      </c>
      <c r="G62" s="2" t="n">
        <v>3834.56</v>
      </c>
      <c r="H62" s="2" t="n">
        <v>5330.48</v>
      </c>
      <c r="I62" s="2" t="n">
        <v>16.26</v>
      </c>
    </row>
    <row r="63" customFormat="false" ht="14.35" hidden="false" customHeight="false" outlineLevel="0" collapsed="false">
      <c r="A63" s="0" t="n">
        <v>62</v>
      </c>
      <c r="B63" s="2" t="s">
        <v>75</v>
      </c>
      <c r="C63" s="2" t="s">
        <v>13</v>
      </c>
      <c r="D63" s="2" t="n">
        <v>87.59</v>
      </c>
      <c r="E63" s="2" t="n">
        <v>98.98</v>
      </c>
      <c r="F63" s="2" t="n">
        <v>114</v>
      </c>
      <c r="G63" s="2" t="n">
        <v>9985.26</v>
      </c>
      <c r="H63" s="2" t="n">
        <v>11283.72</v>
      </c>
      <c r="I63" s="2" t="n">
        <v>11.39</v>
      </c>
    </row>
    <row r="64" customFormat="false" ht="14.35" hidden="false" customHeight="false" outlineLevel="0" collapsed="false">
      <c r="A64" s="0" t="n">
        <v>63</v>
      </c>
      <c r="B64" s="2" t="s">
        <v>76</v>
      </c>
      <c r="C64" s="2" t="s">
        <v>23</v>
      </c>
      <c r="D64" s="2" t="n">
        <v>95.45</v>
      </c>
      <c r="E64" s="2" t="n">
        <v>133.63</v>
      </c>
      <c r="F64" s="2" t="n">
        <v>111</v>
      </c>
      <c r="G64" s="2" t="n">
        <v>10594.95</v>
      </c>
      <c r="H64" s="2" t="n">
        <v>14832.93</v>
      </c>
      <c r="I64" s="2" t="n">
        <v>38.18</v>
      </c>
    </row>
    <row r="65" customFormat="false" ht="14.35" hidden="false" customHeight="false" outlineLevel="0" collapsed="false">
      <c r="A65" s="0" t="n">
        <v>64</v>
      </c>
      <c r="B65" s="2" t="s">
        <v>77</v>
      </c>
      <c r="C65" s="2" t="s">
        <v>13</v>
      </c>
      <c r="D65" s="2" t="n">
        <v>92.65</v>
      </c>
      <c r="E65" s="2" t="n">
        <v>122.3</v>
      </c>
      <c r="F65" s="2" t="n">
        <v>49</v>
      </c>
      <c r="G65" s="2" t="n">
        <v>4539.85</v>
      </c>
      <c r="H65" s="2" t="n">
        <v>5992.7</v>
      </c>
      <c r="I65" s="2" t="n">
        <v>29.65</v>
      </c>
    </row>
    <row r="66" customFormat="false" ht="14.35" hidden="false" customHeight="false" outlineLevel="0" collapsed="false">
      <c r="A66" s="0" t="n">
        <v>65</v>
      </c>
      <c r="B66" s="2" t="s">
        <v>78</v>
      </c>
      <c r="C66" s="2" t="s">
        <v>30</v>
      </c>
      <c r="D66" s="2" t="n">
        <v>39.83</v>
      </c>
      <c r="E66" s="2" t="n">
        <v>45.41</v>
      </c>
      <c r="F66" s="2" t="n">
        <v>105</v>
      </c>
      <c r="G66" s="2" t="n">
        <v>4182.15</v>
      </c>
      <c r="H66" s="2" t="n">
        <v>4768.05</v>
      </c>
      <c r="I66" s="2" t="n">
        <v>5.58</v>
      </c>
    </row>
    <row r="67" customFormat="false" ht="14.35" hidden="false" customHeight="false" outlineLevel="0" collapsed="false">
      <c r="A67" s="0" t="n">
        <v>66</v>
      </c>
      <c r="B67" s="2" t="s">
        <v>79</v>
      </c>
      <c r="C67" s="2" t="s">
        <v>13</v>
      </c>
      <c r="D67" s="2" t="n">
        <v>41.9</v>
      </c>
      <c r="E67" s="2" t="n">
        <v>58.24</v>
      </c>
      <c r="F67" s="2" t="n">
        <v>48</v>
      </c>
      <c r="G67" s="2" t="n">
        <v>2011.2</v>
      </c>
      <c r="H67" s="2" t="n">
        <v>2795.52</v>
      </c>
      <c r="I67" s="2" t="n">
        <v>16.34</v>
      </c>
    </row>
    <row r="68" customFormat="false" ht="14.35" hidden="false" customHeight="false" outlineLevel="0" collapsed="false">
      <c r="A68" s="0" t="n">
        <v>67</v>
      </c>
      <c r="B68" s="2" t="s">
        <v>80</v>
      </c>
      <c r="C68" s="2" t="s">
        <v>10</v>
      </c>
      <c r="D68" s="2" t="n">
        <v>54.62</v>
      </c>
      <c r="E68" s="2" t="n">
        <v>67.18</v>
      </c>
      <c r="F68" s="2" t="n">
        <v>79</v>
      </c>
      <c r="G68" s="2" t="n">
        <v>4314.98</v>
      </c>
      <c r="H68" s="2" t="n">
        <v>5307.22</v>
      </c>
      <c r="I68" s="2" t="n">
        <v>12.56</v>
      </c>
    </row>
    <row r="69" customFormat="false" ht="14.35" hidden="false" customHeight="false" outlineLevel="0" collapsed="false">
      <c r="A69" s="0" t="n">
        <v>68</v>
      </c>
      <c r="B69" s="2" t="s">
        <v>81</v>
      </c>
      <c r="C69" s="2" t="s">
        <v>30</v>
      </c>
      <c r="D69" s="2" t="n">
        <v>52.41</v>
      </c>
      <c r="E69" s="2" t="n">
        <v>69.18</v>
      </c>
      <c r="F69" s="2" t="n">
        <v>111</v>
      </c>
      <c r="G69" s="2" t="n">
        <v>5817.51</v>
      </c>
      <c r="H69" s="2" t="n">
        <v>7678.98</v>
      </c>
      <c r="I69" s="2" t="n">
        <v>16.77</v>
      </c>
    </row>
    <row r="70" customFormat="false" ht="14.35" hidden="false" customHeight="false" outlineLevel="0" collapsed="false">
      <c r="A70" s="0" t="n">
        <v>69</v>
      </c>
      <c r="B70" s="2" t="s">
        <v>82</v>
      </c>
      <c r="C70" s="2" t="s">
        <v>15</v>
      </c>
      <c r="D70" s="2" t="n">
        <v>22.18</v>
      </c>
      <c r="E70" s="2" t="n">
        <v>31.05</v>
      </c>
      <c r="F70" s="2" t="n">
        <v>127</v>
      </c>
      <c r="G70" s="2" t="n">
        <v>2816.86</v>
      </c>
      <c r="H70" s="2" t="n">
        <v>3943.35</v>
      </c>
      <c r="I70" s="2" t="n">
        <v>8.87</v>
      </c>
    </row>
    <row r="71" customFormat="false" ht="14.35" hidden="false" customHeight="false" outlineLevel="0" collapsed="false">
      <c r="A71" s="0" t="n">
        <v>70</v>
      </c>
      <c r="B71" s="2" t="s">
        <v>83</v>
      </c>
      <c r="C71" s="2" t="s">
        <v>30</v>
      </c>
      <c r="D71" s="2" t="n">
        <v>15.75</v>
      </c>
      <c r="E71" s="2" t="n">
        <v>19.06</v>
      </c>
      <c r="F71" s="2" t="n">
        <v>23</v>
      </c>
      <c r="G71" s="2" t="n">
        <v>362.25</v>
      </c>
      <c r="H71" s="2" t="n">
        <v>438.38</v>
      </c>
      <c r="I71" s="2" t="n">
        <v>3.31</v>
      </c>
    </row>
    <row r="72" customFormat="false" ht="14.35" hidden="false" customHeight="false" outlineLevel="0" collapsed="false">
      <c r="A72" s="0" t="n">
        <v>71</v>
      </c>
      <c r="B72" s="2" t="s">
        <v>84</v>
      </c>
      <c r="C72" s="2" t="s">
        <v>10</v>
      </c>
      <c r="D72" s="2" t="n">
        <v>91.55</v>
      </c>
      <c r="E72" s="2" t="n">
        <v>118.1</v>
      </c>
      <c r="F72" s="2" t="n">
        <v>74</v>
      </c>
      <c r="G72" s="2" t="n">
        <v>6774.7</v>
      </c>
      <c r="H72" s="2" t="n">
        <v>8739.4</v>
      </c>
      <c r="I72" s="2" t="n">
        <v>26.55</v>
      </c>
    </row>
    <row r="73" customFormat="false" ht="14.35" hidden="false" customHeight="false" outlineLevel="0" collapsed="false">
      <c r="A73" s="0" t="n">
        <v>72</v>
      </c>
      <c r="B73" s="2" t="s">
        <v>85</v>
      </c>
      <c r="C73" s="2" t="s">
        <v>15</v>
      </c>
      <c r="D73" s="2" t="n">
        <v>58.67</v>
      </c>
      <c r="E73" s="2" t="n">
        <v>77.44</v>
      </c>
      <c r="F73" s="2" t="n">
        <v>77</v>
      </c>
      <c r="G73" s="2" t="n">
        <v>4517.59</v>
      </c>
      <c r="H73" s="2" t="n">
        <v>5962.88</v>
      </c>
      <c r="I73" s="2" t="n">
        <v>18.77</v>
      </c>
    </row>
    <row r="74" customFormat="false" ht="14.35" hidden="false" customHeight="false" outlineLevel="0" collapsed="false">
      <c r="A74" s="0" t="n">
        <v>73</v>
      </c>
      <c r="B74" s="2" t="s">
        <v>86</v>
      </c>
      <c r="C74" s="2" t="s">
        <v>15</v>
      </c>
      <c r="D74" s="2" t="n">
        <v>71.65</v>
      </c>
      <c r="E74" s="2" t="n">
        <v>79.53</v>
      </c>
      <c r="F74" s="2" t="n">
        <v>91</v>
      </c>
      <c r="G74" s="2" t="n">
        <v>6520.15</v>
      </c>
      <c r="H74" s="2" t="n">
        <v>7237.23</v>
      </c>
      <c r="I74" s="2" t="n">
        <v>7.88</v>
      </c>
    </row>
    <row r="75" customFormat="false" ht="14.35" hidden="false" customHeight="false" outlineLevel="0" collapsed="false">
      <c r="A75" s="0" t="n">
        <v>74</v>
      </c>
      <c r="B75" s="2" t="s">
        <v>87</v>
      </c>
      <c r="C75" s="2" t="s">
        <v>13</v>
      </c>
      <c r="D75" s="2" t="n">
        <v>44.25</v>
      </c>
      <c r="E75" s="2" t="n">
        <v>50.89</v>
      </c>
      <c r="F75" s="2" t="n">
        <v>144</v>
      </c>
      <c r="G75" s="2" t="n">
        <v>6372</v>
      </c>
      <c r="H75" s="2" t="n">
        <v>7328.16</v>
      </c>
      <c r="I75" s="2" t="n">
        <v>6.64</v>
      </c>
    </row>
    <row r="76" customFormat="false" ht="14.35" hidden="false" customHeight="false" outlineLevel="0" collapsed="false">
      <c r="A76" s="0" t="n">
        <v>75</v>
      </c>
      <c r="B76" s="2" t="s">
        <v>88</v>
      </c>
      <c r="C76" s="2" t="s">
        <v>10</v>
      </c>
      <c r="D76" s="2" t="n">
        <v>78.34</v>
      </c>
      <c r="E76" s="2" t="n">
        <v>87.74</v>
      </c>
      <c r="F76" s="2" t="n">
        <v>23</v>
      </c>
      <c r="G76" s="2" t="n">
        <v>1801.82</v>
      </c>
      <c r="H76" s="2" t="n">
        <v>2018.02</v>
      </c>
      <c r="I76" s="2" t="n">
        <v>9.39999999999999</v>
      </c>
    </row>
    <row r="77" customFormat="false" ht="14.35" hidden="false" customHeight="false" outlineLevel="0" collapsed="false">
      <c r="A77" s="0" t="n">
        <v>76</v>
      </c>
      <c r="B77" s="2" t="s">
        <v>89</v>
      </c>
      <c r="C77" s="2" t="s">
        <v>30</v>
      </c>
      <c r="D77" s="2" t="n">
        <v>94.35</v>
      </c>
      <c r="E77" s="2" t="n">
        <v>130.2</v>
      </c>
      <c r="F77" s="2" t="n">
        <v>68</v>
      </c>
      <c r="G77" s="2" t="n">
        <v>6415.8</v>
      </c>
      <c r="H77" s="2" t="n">
        <v>8853.6</v>
      </c>
      <c r="I77" s="2" t="n">
        <v>35.85</v>
      </c>
    </row>
    <row r="78" customFormat="false" ht="14.35" hidden="false" customHeight="false" outlineLevel="0" collapsed="false">
      <c r="A78" s="0" t="n">
        <v>77</v>
      </c>
      <c r="B78" s="2" t="s">
        <v>90</v>
      </c>
      <c r="C78" s="2" t="s">
        <v>10</v>
      </c>
      <c r="D78" s="2" t="n">
        <v>13.63</v>
      </c>
      <c r="E78" s="2" t="n">
        <v>15.95</v>
      </c>
      <c r="F78" s="2" t="n">
        <v>137</v>
      </c>
      <c r="G78" s="2" t="n">
        <v>1867.31</v>
      </c>
      <c r="H78" s="2" t="n">
        <v>2185.15</v>
      </c>
      <c r="I78" s="2" t="n">
        <v>2.32</v>
      </c>
    </row>
    <row r="79" customFormat="false" ht="14.35" hidden="false" customHeight="false" outlineLevel="0" collapsed="false">
      <c r="A79" s="0" t="n">
        <v>78</v>
      </c>
      <c r="B79" s="2" t="s">
        <v>91</v>
      </c>
      <c r="C79" s="2" t="s">
        <v>15</v>
      </c>
      <c r="D79" s="2" t="n">
        <v>96.62</v>
      </c>
      <c r="E79" s="2" t="n">
        <v>116.91</v>
      </c>
      <c r="F79" s="2" t="n">
        <v>102</v>
      </c>
      <c r="G79" s="2" t="n">
        <v>9855.24</v>
      </c>
      <c r="H79" s="2" t="n">
        <v>11924.82</v>
      </c>
      <c r="I79" s="2" t="n">
        <v>20.29</v>
      </c>
    </row>
    <row r="80" customFormat="false" ht="14.35" hidden="false" customHeight="false" outlineLevel="0" collapsed="false">
      <c r="A80" s="0" t="n">
        <v>79</v>
      </c>
      <c r="B80" s="2" t="s">
        <v>92</v>
      </c>
      <c r="C80" s="2" t="s">
        <v>23</v>
      </c>
      <c r="D80" s="2" t="n">
        <v>39.5</v>
      </c>
      <c r="E80" s="2" t="n">
        <v>53.72</v>
      </c>
      <c r="F80" s="2" t="n">
        <v>11</v>
      </c>
      <c r="G80" s="2" t="n">
        <v>434.5</v>
      </c>
      <c r="H80" s="2" t="n">
        <v>590.92</v>
      </c>
      <c r="I80" s="2" t="n">
        <v>14.22</v>
      </c>
    </row>
    <row r="81" customFormat="false" ht="14.35" hidden="false" customHeight="false" outlineLevel="0" collapsed="false">
      <c r="A81" s="0" t="n">
        <v>80</v>
      </c>
      <c r="B81" s="2" t="s">
        <v>93</v>
      </c>
      <c r="C81" s="2" t="s">
        <v>10</v>
      </c>
      <c r="D81" s="2" t="n">
        <v>19.33</v>
      </c>
      <c r="E81" s="2" t="n">
        <v>24.16</v>
      </c>
      <c r="F81" s="2" t="n">
        <v>130</v>
      </c>
      <c r="G81" s="2" t="n">
        <v>2512.9</v>
      </c>
      <c r="H81" s="2" t="n">
        <v>3140.8</v>
      </c>
      <c r="I81" s="2" t="n">
        <v>4.83</v>
      </c>
    </row>
    <row r="82" customFormat="false" ht="14.35" hidden="false" customHeight="false" outlineLevel="0" collapsed="false">
      <c r="A82" s="0" t="n">
        <v>81</v>
      </c>
      <c r="B82" s="2" t="s">
        <v>94</v>
      </c>
      <c r="C82" s="2" t="s">
        <v>23</v>
      </c>
      <c r="D82" s="2" t="n">
        <v>45.65</v>
      </c>
      <c r="E82" s="2" t="n">
        <v>52.95</v>
      </c>
      <c r="F82" s="2" t="n">
        <v>1</v>
      </c>
      <c r="G82" s="2" t="n">
        <v>45.65</v>
      </c>
      <c r="H82" s="2" t="n">
        <v>52.95</v>
      </c>
      <c r="I82" s="2" t="n">
        <v>7.3</v>
      </c>
    </row>
    <row r="83" customFormat="false" ht="14.35" hidden="false" customHeight="false" outlineLevel="0" collapsed="false">
      <c r="A83" s="0" t="n">
        <v>82</v>
      </c>
      <c r="B83" s="2" t="s">
        <v>95</v>
      </c>
      <c r="C83" s="2" t="s">
        <v>13</v>
      </c>
      <c r="D83" s="2" t="n">
        <v>44.29</v>
      </c>
      <c r="E83" s="2" t="n">
        <v>51.38</v>
      </c>
      <c r="F83" s="2" t="n">
        <v>76</v>
      </c>
      <c r="G83" s="2" t="n">
        <v>3366.04</v>
      </c>
      <c r="H83" s="2" t="n">
        <v>3904.88</v>
      </c>
      <c r="I83" s="2" t="n">
        <v>7.09</v>
      </c>
    </row>
    <row r="84" customFormat="false" ht="14.35" hidden="false" customHeight="false" outlineLevel="0" collapsed="false">
      <c r="A84" s="0" t="n">
        <v>83</v>
      </c>
      <c r="B84" s="2" t="s">
        <v>96</v>
      </c>
      <c r="C84" s="2" t="s">
        <v>30</v>
      </c>
      <c r="D84" s="2" t="n">
        <v>58.72</v>
      </c>
      <c r="E84" s="2" t="n">
        <v>72.23</v>
      </c>
      <c r="F84" s="2" t="n">
        <v>123</v>
      </c>
      <c r="G84" s="2" t="n">
        <v>7222.56</v>
      </c>
      <c r="H84" s="2" t="n">
        <v>8884.29</v>
      </c>
      <c r="I84" s="2" t="n">
        <v>13.51</v>
      </c>
    </row>
    <row r="85" customFormat="false" ht="14.35" hidden="false" customHeight="false" outlineLevel="0" collapsed="false">
      <c r="A85" s="0" t="n">
        <v>84</v>
      </c>
      <c r="B85" s="2" t="s">
        <v>97</v>
      </c>
      <c r="C85" s="2" t="s">
        <v>23</v>
      </c>
      <c r="D85" s="2" t="n">
        <v>96.77</v>
      </c>
      <c r="E85" s="2" t="n">
        <v>135.48</v>
      </c>
      <c r="F85" s="2" t="n">
        <v>49</v>
      </c>
      <c r="G85" s="2" t="n">
        <v>4741.73</v>
      </c>
      <c r="H85" s="2" t="n">
        <v>6638.52</v>
      </c>
      <c r="I85" s="2" t="n">
        <v>38.71</v>
      </c>
    </row>
    <row r="86" customFormat="false" ht="14.35" hidden="false" customHeight="false" outlineLevel="0" collapsed="false">
      <c r="A86" s="0" t="n">
        <v>85</v>
      </c>
      <c r="B86" s="2" t="s">
        <v>98</v>
      </c>
      <c r="C86" s="2" t="s">
        <v>23</v>
      </c>
      <c r="D86" s="2" t="n">
        <v>81.58</v>
      </c>
      <c r="E86" s="2" t="n">
        <v>105.24</v>
      </c>
      <c r="F86" s="2" t="n">
        <v>118</v>
      </c>
      <c r="G86" s="2" t="n">
        <v>9626.44</v>
      </c>
      <c r="H86" s="2" t="n">
        <v>12418.32</v>
      </c>
      <c r="I86" s="2" t="n">
        <v>23.66</v>
      </c>
    </row>
    <row r="87" customFormat="false" ht="14.35" hidden="false" customHeight="false" outlineLevel="0" collapsed="false">
      <c r="A87" s="0" t="n">
        <v>86</v>
      </c>
      <c r="B87" s="2" t="s">
        <v>99</v>
      </c>
      <c r="C87" s="2" t="s">
        <v>10</v>
      </c>
      <c r="D87" s="2" t="n">
        <v>23.19</v>
      </c>
      <c r="E87" s="2" t="n">
        <v>26.2</v>
      </c>
      <c r="F87" s="2" t="n">
        <v>4</v>
      </c>
      <c r="G87" s="2" t="n">
        <v>92.76</v>
      </c>
      <c r="H87" s="2" t="n">
        <v>104.8</v>
      </c>
      <c r="I87" s="2" t="n">
        <v>3.01</v>
      </c>
    </row>
    <row r="88" customFormat="false" ht="14.35" hidden="false" customHeight="false" outlineLevel="0" collapsed="false">
      <c r="A88" s="0" t="n">
        <v>87</v>
      </c>
      <c r="B88" s="2" t="s">
        <v>100</v>
      </c>
      <c r="C88" s="2" t="s">
        <v>30</v>
      </c>
      <c r="D88" s="2" t="n">
        <v>38.58</v>
      </c>
      <c r="E88" s="2" t="n">
        <v>48.23</v>
      </c>
      <c r="F88" s="2" t="n">
        <v>6</v>
      </c>
      <c r="G88" s="2" t="n">
        <v>231.48</v>
      </c>
      <c r="H88" s="2" t="n">
        <v>289.38</v>
      </c>
      <c r="I88" s="2" t="n">
        <v>9.65</v>
      </c>
    </row>
    <row r="89" customFormat="false" ht="14.35" hidden="false" customHeight="false" outlineLevel="0" collapsed="false">
      <c r="A89" s="0" t="n">
        <v>88</v>
      </c>
      <c r="B89" s="2" t="s">
        <v>101</v>
      </c>
      <c r="C89" s="2" t="s">
        <v>15</v>
      </c>
      <c r="D89" s="2" t="n">
        <v>56.67</v>
      </c>
      <c r="E89" s="2" t="n">
        <v>76.5</v>
      </c>
      <c r="F89" s="2" t="n">
        <v>86</v>
      </c>
      <c r="G89" s="2" t="n">
        <v>4873.62</v>
      </c>
      <c r="H89" s="2" t="n">
        <v>6579</v>
      </c>
      <c r="I89" s="2" t="n">
        <v>19.83</v>
      </c>
    </row>
    <row r="90" customFormat="false" ht="14.35" hidden="false" customHeight="false" outlineLevel="0" collapsed="false">
      <c r="A90" s="0" t="n">
        <v>89</v>
      </c>
      <c r="B90" s="2" t="s">
        <v>102</v>
      </c>
      <c r="C90" s="2" t="s">
        <v>10</v>
      </c>
      <c r="D90" s="2" t="n">
        <v>50.1</v>
      </c>
      <c r="E90" s="2" t="n">
        <v>62.63</v>
      </c>
      <c r="F90" s="2" t="n">
        <v>141</v>
      </c>
      <c r="G90" s="2" t="n">
        <v>7064.1</v>
      </c>
      <c r="H90" s="2" t="n">
        <v>8830.83</v>
      </c>
      <c r="I90" s="2" t="n">
        <v>12.53</v>
      </c>
    </row>
    <row r="91" customFormat="false" ht="14.35" hidden="false" customHeight="false" outlineLevel="0" collapsed="false">
      <c r="A91" s="0" t="n">
        <v>90</v>
      </c>
      <c r="B91" s="2" t="s">
        <v>103</v>
      </c>
      <c r="C91" s="2" t="s">
        <v>13</v>
      </c>
      <c r="D91" s="2" t="n">
        <v>12.21</v>
      </c>
      <c r="E91" s="2" t="n">
        <v>15.26</v>
      </c>
      <c r="F91" s="2" t="n">
        <v>139</v>
      </c>
      <c r="G91" s="2" t="n">
        <v>1697.19</v>
      </c>
      <c r="H91" s="2" t="n">
        <v>2121.14</v>
      </c>
      <c r="I91" s="2" t="n">
        <v>3.05</v>
      </c>
    </row>
    <row r="92" customFormat="false" ht="14.35" hidden="false" customHeight="false" outlineLevel="0" collapsed="false">
      <c r="A92" s="0" t="n">
        <v>91</v>
      </c>
      <c r="B92" s="2" t="s">
        <v>104</v>
      </c>
      <c r="C92" s="2" t="s">
        <v>30</v>
      </c>
      <c r="D92" s="2" t="n">
        <v>64.8</v>
      </c>
      <c r="E92" s="2" t="n">
        <v>89.42</v>
      </c>
      <c r="F92" s="2" t="n">
        <v>115</v>
      </c>
      <c r="G92" s="2" t="n">
        <v>7452</v>
      </c>
      <c r="H92" s="2" t="n">
        <v>10283.3</v>
      </c>
      <c r="I92" s="2" t="n">
        <v>24.62</v>
      </c>
    </row>
    <row r="93" customFormat="false" ht="14.35" hidden="false" customHeight="false" outlineLevel="0" collapsed="false">
      <c r="A93" s="0" t="n">
        <v>92</v>
      </c>
      <c r="B93" s="2" t="s">
        <v>105</v>
      </c>
      <c r="C93" s="2" t="s">
        <v>30</v>
      </c>
      <c r="D93" s="2" t="n">
        <v>32.31</v>
      </c>
      <c r="E93" s="2" t="n">
        <v>43.94</v>
      </c>
      <c r="F93" s="2" t="n">
        <v>6</v>
      </c>
      <c r="G93" s="2" t="n">
        <v>193.86</v>
      </c>
      <c r="H93" s="2" t="n">
        <v>263.64</v>
      </c>
      <c r="I93" s="2" t="n">
        <v>11.63</v>
      </c>
    </row>
    <row r="94" customFormat="false" ht="14.35" hidden="false" customHeight="false" outlineLevel="0" collapsed="false">
      <c r="A94" s="0" t="n">
        <v>93</v>
      </c>
      <c r="B94" s="2" t="s">
        <v>106</v>
      </c>
      <c r="C94" s="2" t="s">
        <v>15</v>
      </c>
      <c r="D94" s="2" t="n">
        <v>50.59</v>
      </c>
      <c r="E94" s="2" t="n">
        <v>55.65</v>
      </c>
      <c r="F94" s="2" t="n">
        <v>19</v>
      </c>
      <c r="G94" s="2" t="n">
        <v>961.21</v>
      </c>
      <c r="H94" s="2" t="n">
        <v>1057.35</v>
      </c>
      <c r="I94" s="2" t="n">
        <v>5.06</v>
      </c>
    </row>
    <row r="95" customFormat="false" ht="14.35" hidden="false" customHeight="false" outlineLevel="0" collapsed="false">
      <c r="A95" s="0" t="n">
        <v>94</v>
      </c>
      <c r="B95" s="2" t="s">
        <v>107</v>
      </c>
      <c r="C95" s="2" t="s">
        <v>23</v>
      </c>
      <c r="D95" s="2" t="n">
        <v>18.8</v>
      </c>
      <c r="E95" s="2" t="n">
        <v>22.18</v>
      </c>
      <c r="F95" s="2" t="n">
        <v>67</v>
      </c>
      <c r="G95" s="2" t="n">
        <v>1259.6</v>
      </c>
      <c r="H95" s="2" t="n">
        <v>1486.06</v>
      </c>
      <c r="I95" s="2" t="n">
        <v>3.38</v>
      </c>
    </row>
    <row r="96" customFormat="false" ht="14.35" hidden="false" customHeight="false" outlineLevel="0" collapsed="false">
      <c r="A96" s="0" t="n">
        <v>95</v>
      </c>
      <c r="B96" s="2" t="s">
        <v>108</v>
      </c>
      <c r="C96" s="2" t="s">
        <v>15</v>
      </c>
      <c r="D96" s="2" t="n">
        <v>91.76</v>
      </c>
      <c r="E96" s="2" t="n">
        <v>116.54</v>
      </c>
      <c r="F96" s="2" t="n">
        <v>47</v>
      </c>
      <c r="G96" s="2" t="n">
        <v>4312.72</v>
      </c>
      <c r="H96" s="2" t="n">
        <v>5477.38</v>
      </c>
      <c r="I96" s="2" t="n">
        <v>24.78</v>
      </c>
    </row>
    <row r="97" customFormat="false" ht="14.35" hidden="false" customHeight="false" outlineLevel="0" collapsed="false">
      <c r="A97" s="0" t="n">
        <v>96</v>
      </c>
      <c r="B97" s="2" t="s">
        <v>109</v>
      </c>
      <c r="C97" s="2" t="s">
        <v>23</v>
      </c>
      <c r="D97" s="2" t="n">
        <v>24.02</v>
      </c>
      <c r="E97" s="2" t="n">
        <v>30.75</v>
      </c>
      <c r="F97" s="2" t="n">
        <v>49</v>
      </c>
      <c r="G97" s="2" t="n">
        <v>1176.98</v>
      </c>
      <c r="H97" s="2" t="n">
        <v>1506.75</v>
      </c>
      <c r="I97" s="2" t="n">
        <v>6.73</v>
      </c>
    </row>
    <row r="98" customFormat="false" ht="14.35" hidden="false" customHeight="false" outlineLevel="0" collapsed="false">
      <c r="A98" s="0" t="n">
        <v>97</v>
      </c>
      <c r="B98" s="2" t="s">
        <v>110</v>
      </c>
      <c r="C98" s="2" t="s">
        <v>15</v>
      </c>
      <c r="D98" s="2" t="n">
        <v>37.67</v>
      </c>
      <c r="E98" s="2" t="n">
        <v>42.57</v>
      </c>
      <c r="F98" s="2" t="n">
        <v>82</v>
      </c>
      <c r="G98" s="2" t="n">
        <v>3088.94</v>
      </c>
      <c r="H98" s="2" t="n">
        <v>3490.74</v>
      </c>
      <c r="I98" s="2" t="n">
        <v>4.9</v>
      </c>
    </row>
    <row r="99" customFormat="false" ht="14.35" hidden="false" customHeight="false" outlineLevel="0" collapsed="false">
      <c r="A99" s="0" t="n">
        <v>98</v>
      </c>
      <c r="B99" s="2" t="s">
        <v>111</v>
      </c>
      <c r="C99" s="2" t="s">
        <v>23</v>
      </c>
      <c r="D99" s="2" t="n">
        <v>20.18</v>
      </c>
      <c r="E99" s="2" t="n">
        <v>24.42</v>
      </c>
      <c r="F99" s="2" t="n">
        <v>75</v>
      </c>
      <c r="G99" s="2" t="n">
        <v>1513.5</v>
      </c>
      <c r="H99" s="2" t="n">
        <v>1831.5</v>
      </c>
      <c r="I99" s="2" t="n">
        <v>4.24</v>
      </c>
    </row>
    <row r="100" customFormat="false" ht="14.35" hidden="false" customHeight="false" outlineLevel="0" collapsed="false">
      <c r="A100" s="0" t="n">
        <v>99</v>
      </c>
      <c r="B100" s="2" t="s">
        <v>112</v>
      </c>
      <c r="C100" s="2" t="s">
        <v>15</v>
      </c>
      <c r="D100" s="2" t="n">
        <v>38.52</v>
      </c>
      <c r="E100" s="2" t="n">
        <v>43.53</v>
      </c>
      <c r="F100" s="2" t="n">
        <v>37</v>
      </c>
      <c r="G100" s="2" t="n">
        <v>1425.24</v>
      </c>
      <c r="H100" s="2" t="n">
        <v>1610.61</v>
      </c>
      <c r="I100" s="2" t="n">
        <v>5.01</v>
      </c>
    </row>
    <row r="101" customFormat="false" ht="14.35" hidden="false" customHeight="false" outlineLevel="0" collapsed="false">
      <c r="A101" s="0" t="n">
        <v>100</v>
      </c>
      <c r="B101" s="2" t="s">
        <v>113</v>
      </c>
      <c r="C101" s="2" t="s">
        <v>30</v>
      </c>
      <c r="D101" s="2" t="n">
        <v>98.43</v>
      </c>
      <c r="E101" s="2" t="n">
        <v>123.04</v>
      </c>
      <c r="F101" s="2" t="n">
        <v>144</v>
      </c>
      <c r="G101" s="2" t="n">
        <v>14173.92</v>
      </c>
      <c r="H101" s="2" t="n">
        <v>17717.76</v>
      </c>
      <c r="I101" s="2" t="n">
        <v>24.61</v>
      </c>
    </row>
    <row r="102" customFormat="false" ht="14.35" hidden="false" customHeight="false" outlineLevel="0" collapsed="false">
      <c r="A102" s="0" t="n">
        <v>101</v>
      </c>
      <c r="B102" s="2" t="s">
        <v>114</v>
      </c>
      <c r="C102" s="2" t="s">
        <v>23</v>
      </c>
      <c r="D102" s="2" t="n">
        <v>10.91</v>
      </c>
      <c r="E102" s="2" t="n">
        <v>12.66</v>
      </c>
      <c r="F102" s="2" t="n">
        <v>116</v>
      </c>
      <c r="G102" s="2" t="n">
        <v>1265.56</v>
      </c>
      <c r="H102" s="2" t="n">
        <v>1468.56</v>
      </c>
      <c r="I102" s="2" t="n">
        <v>1.75</v>
      </c>
    </row>
    <row r="103" customFormat="false" ht="14.35" hidden="false" customHeight="false" outlineLevel="0" collapsed="false">
      <c r="A103" s="0" t="n">
        <v>102</v>
      </c>
      <c r="B103" s="2" t="s">
        <v>115</v>
      </c>
      <c r="C103" s="2" t="s">
        <v>15</v>
      </c>
      <c r="D103" s="2" t="n">
        <v>18.77</v>
      </c>
      <c r="E103" s="2" t="n">
        <v>21.21</v>
      </c>
      <c r="F103" s="2" t="n">
        <v>137</v>
      </c>
      <c r="G103" s="2" t="n">
        <v>2571.49</v>
      </c>
      <c r="H103" s="2" t="n">
        <v>2905.77</v>
      </c>
      <c r="I103" s="2" t="n">
        <v>2.44</v>
      </c>
    </row>
    <row r="104" customFormat="false" ht="14.35" hidden="false" customHeight="false" outlineLevel="0" collapsed="false">
      <c r="A104" s="0" t="n">
        <v>103</v>
      </c>
      <c r="B104" s="2" t="s">
        <v>116</v>
      </c>
      <c r="C104" s="2" t="s">
        <v>30</v>
      </c>
      <c r="D104" s="2" t="n">
        <v>26.34</v>
      </c>
      <c r="E104" s="2" t="n">
        <v>33.72</v>
      </c>
      <c r="F104" s="2" t="n">
        <v>37</v>
      </c>
      <c r="G104" s="2" t="n">
        <v>974.58</v>
      </c>
      <c r="H104" s="2" t="n">
        <v>1247.64</v>
      </c>
      <c r="I104" s="2" t="n">
        <v>7.38</v>
      </c>
    </row>
    <row r="105" customFormat="false" ht="14.35" hidden="false" customHeight="false" outlineLevel="0" collapsed="false">
      <c r="A105" s="0" t="n">
        <v>104</v>
      </c>
      <c r="B105" s="2" t="s">
        <v>117</v>
      </c>
      <c r="C105" s="2" t="s">
        <v>23</v>
      </c>
      <c r="D105" s="2" t="n">
        <v>93.36</v>
      </c>
      <c r="E105" s="2" t="n">
        <v>117.63</v>
      </c>
      <c r="F105" s="2" t="n">
        <v>45</v>
      </c>
      <c r="G105" s="2" t="n">
        <v>4201.2</v>
      </c>
      <c r="H105" s="2" t="n">
        <v>5293.35</v>
      </c>
      <c r="I105" s="2" t="n">
        <v>24.27</v>
      </c>
    </row>
    <row r="106" customFormat="false" ht="14.35" hidden="false" customHeight="false" outlineLevel="0" collapsed="false">
      <c r="A106" s="0" t="n">
        <v>105</v>
      </c>
      <c r="B106" s="2" t="s">
        <v>118</v>
      </c>
      <c r="C106" s="2" t="s">
        <v>30</v>
      </c>
      <c r="D106" s="2" t="n">
        <v>54.94</v>
      </c>
      <c r="E106" s="2" t="n">
        <v>68.13</v>
      </c>
      <c r="F106" s="2" t="n">
        <v>53</v>
      </c>
      <c r="G106" s="2" t="n">
        <v>2911.82</v>
      </c>
      <c r="H106" s="2" t="n">
        <v>3610.89</v>
      </c>
      <c r="I106" s="2" t="n">
        <v>13.19</v>
      </c>
    </row>
    <row r="107" customFormat="false" ht="14.35" hidden="false" customHeight="false" outlineLevel="0" collapsed="false">
      <c r="A107" s="0" t="n">
        <v>106</v>
      </c>
      <c r="B107" s="2" t="s">
        <v>119</v>
      </c>
      <c r="C107" s="2" t="s">
        <v>23</v>
      </c>
      <c r="D107" s="2" t="n">
        <v>25.99</v>
      </c>
      <c r="E107" s="2" t="n">
        <v>34.31</v>
      </c>
      <c r="F107" s="2" t="n">
        <v>52</v>
      </c>
      <c r="G107" s="2" t="n">
        <v>1351.48</v>
      </c>
      <c r="H107" s="2" t="n">
        <v>1784.12</v>
      </c>
      <c r="I107" s="2" t="n">
        <v>8.32</v>
      </c>
    </row>
    <row r="108" customFormat="false" ht="14.35" hidden="false" customHeight="false" outlineLevel="0" collapsed="false">
      <c r="A108" s="0" t="n">
        <v>107</v>
      </c>
      <c r="B108" s="2" t="s">
        <v>120</v>
      </c>
      <c r="C108" s="2" t="s">
        <v>10</v>
      </c>
      <c r="D108" s="2" t="n">
        <v>29.04</v>
      </c>
      <c r="E108" s="2" t="n">
        <v>32.23</v>
      </c>
      <c r="F108" s="2" t="n">
        <v>84</v>
      </c>
      <c r="G108" s="2" t="n">
        <v>2439.36</v>
      </c>
      <c r="H108" s="2" t="n">
        <v>2707.32</v>
      </c>
      <c r="I108" s="2" t="n">
        <v>3.19</v>
      </c>
    </row>
    <row r="109" customFormat="false" ht="14.35" hidden="false" customHeight="false" outlineLevel="0" collapsed="false">
      <c r="A109" s="0" t="n">
        <v>108</v>
      </c>
      <c r="B109" s="2" t="s">
        <v>121</v>
      </c>
      <c r="C109" s="2" t="s">
        <v>13</v>
      </c>
      <c r="D109" s="2" t="n">
        <v>71.85</v>
      </c>
      <c r="E109" s="2" t="n">
        <v>88.38</v>
      </c>
      <c r="F109" s="2" t="n">
        <v>91</v>
      </c>
      <c r="G109" s="2" t="n">
        <v>6538.35</v>
      </c>
      <c r="H109" s="2" t="n">
        <v>8042.58</v>
      </c>
      <c r="I109" s="2" t="n">
        <v>16.53</v>
      </c>
    </row>
    <row r="110" customFormat="false" ht="14.35" hidden="false" customHeight="false" outlineLevel="0" collapsed="false">
      <c r="A110" s="0" t="n">
        <v>109</v>
      </c>
      <c r="B110" s="2" t="s">
        <v>122</v>
      </c>
      <c r="C110" s="2" t="s">
        <v>10</v>
      </c>
      <c r="D110" s="2" t="n">
        <v>96.74</v>
      </c>
      <c r="E110" s="2" t="n">
        <v>109.32</v>
      </c>
      <c r="F110" s="2" t="n">
        <v>19</v>
      </c>
      <c r="G110" s="2" t="n">
        <v>1838.06</v>
      </c>
      <c r="H110" s="2" t="n">
        <v>2077.08</v>
      </c>
      <c r="I110" s="2" t="n">
        <v>12.58</v>
      </c>
    </row>
    <row r="111" customFormat="false" ht="14.35" hidden="false" customHeight="false" outlineLevel="0" collapsed="false">
      <c r="A111" s="0" t="n">
        <v>110</v>
      </c>
      <c r="B111" s="2" t="s">
        <v>123</v>
      </c>
      <c r="C111" s="2" t="s">
        <v>30</v>
      </c>
      <c r="D111" s="2" t="n">
        <v>24.01</v>
      </c>
      <c r="E111" s="2" t="n">
        <v>26.65</v>
      </c>
      <c r="F111" s="2" t="n">
        <v>139</v>
      </c>
      <c r="G111" s="2" t="n">
        <v>3337.39</v>
      </c>
      <c r="H111" s="2" t="n">
        <v>3704.35</v>
      </c>
      <c r="I111" s="2" t="n">
        <v>2.64</v>
      </c>
    </row>
    <row r="112" customFormat="false" ht="14.35" hidden="false" customHeight="false" outlineLevel="0" collapsed="false">
      <c r="A112" s="0" t="n">
        <v>111</v>
      </c>
      <c r="B112" s="2" t="s">
        <v>124</v>
      </c>
      <c r="C112" s="2" t="s">
        <v>10</v>
      </c>
      <c r="D112" s="2" t="n">
        <v>84.81</v>
      </c>
      <c r="E112" s="2" t="n">
        <v>116.19</v>
      </c>
      <c r="F112" s="2" t="n">
        <v>20</v>
      </c>
      <c r="G112" s="2" t="n">
        <v>1696.2</v>
      </c>
      <c r="H112" s="2" t="n">
        <v>2323.8</v>
      </c>
      <c r="I112" s="2" t="n">
        <v>31.38</v>
      </c>
    </row>
    <row r="113" customFormat="false" ht="14.35" hidden="false" customHeight="false" outlineLevel="0" collapsed="false">
      <c r="A113" s="0" t="n">
        <v>112</v>
      </c>
      <c r="B113" s="2" t="s">
        <v>125</v>
      </c>
      <c r="C113" s="2" t="s">
        <v>13</v>
      </c>
      <c r="D113" s="2" t="n">
        <v>19.6</v>
      </c>
      <c r="E113" s="2" t="n">
        <v>22.15</v>
      </c>
      <c r="F113" s="2" t="n">
        <v>20</v>
      </c>
      <c r="G113" s="2" t="n">
        <v>392</v>
      </c>
      <c r="H113" s="2" t="n">
        <v>443</v>
      </c>
      <c r="I113" s="2" t="n">
        <v>2.55</v>
      </c>
    </row>
    <row r="114" customFormat="false" ht="14.35" hidden="false" customHeight="false" outlineLevel="0" collapsed="false">
      <c r="A114" s="0" t="n">
        <v>113</v>
      </c>
      <c r="B114" s="2" t="s">
        <v>126</v>
      </c>
      <c r="C114" s="2" t="s">
        <v>30</v>
      </c>
      <c r="D114" s="2" t="n">
        <v>44.25</v>
      </c>
      <c r="E114" s="2" t="n">
        <v>51.77</v>
      </c>
      <c r="F114" s="2" t="n">
        <v>137</v>
      </c>
      <c r="G114" s="2" t="n">
        <v>6062.25</v>
      </c>
      <c r="H114" s="2" t="n">
        <v>7092.49</v>
      </c>
      <c r="I114" s="2" t="n">
        <v>7.52</v>
      </c>
    </row>
    <row r="115" customFormat="false" ht="14.35" hidden="false" customHeight="false" outlineLevel="0" collapsed="false">
      <c r="A115" s="0" t="n">
        <v>114</v>
      </c>
      <c r="B115" s="2" t="s">
        <v>127</v>
      </c>
      <c r="C115" s="2" t="s">
        <v>30</v>
      </c>
      <c r="D115" s="2" t="n">
        <v>76.58</v>
      </c>
      <c r="E115" s="2" t="n">
        <v>89.6</v>
      </c>
      <c r="F115" s="2" t="n">
        <v>35</v>
      </c>
      <c r="G115" s="2" t="n">
        <v>2680.3</v>
      </c>
      <c r="H115" s="2" t="n">
        <v>3136</v>
      </c>
      <c r="I115" s="2" t="n">
        <v>13.02</v>
      </c>
    </row>
    <row r="116" customFormat="false" ht="14.35" hidden="false" customHeight="false" outlineLevel="0" collapsed="false">
      <c r="A116" s="0" t="n">
        <v>115</v>
      </c>
      <c r="B116" s="2" t="s">
        <v>128</v>
      </c>
      <c r="C116" s="2" t="s">
        <v>23</v>
      </c>
      <c r="D116" s="2" t="n">
        <v>29.27</v>
      </c>
      <c r="E116" s="2" t="n">
        <v>36</v>
      </c>
      <c r="F116" s="2" t="n">
        <v>25</v>
      </c>
      <c r="G116" s="2" t="n">
        <v>731.75</v>
      </c>
      <c r="H116" s="2" t="n">
        <v>900</v>
      </c>
      <c r="I116" s="2" t="n">
        <v>6.73</v>
      </c>
    </row>
    <row r="117" customFormat="false" ht="14.35" hidden="false" customHeight="false" outlineLevel="0" collapsed="false">
      <c r="A117" s="0" t="n">
        <v>116</v>
      </c>
      <c r="B117" s="2" t="s">
        <v>129</v>
      </c>
      <c r="C117" s="2" t="s">
        <v>15</v>
      </c>
      <c r="D117" s="2" t="n">
        <v>83.8</v>
      </c>
      <c r="E117" s="2" t="n">
        <v>114.81</v>
      </c>
      <c r="F117" s="2" t="n">
        <v>150</v>
      </c>
      <c r="G117" s="2" t="n">
        <v>12570</v>
      </c>
      <c r="H117" s="2" t="n">
        <v>17221.5</v>
      </c>
      <c r="I117" s="2" t="n">
        <v>31.01</v>
      </c>
    </row>
    <row r="118" customFormat="false" ht="14.35" hidden="false" customHeight="false" outlineLevel="0" collapsed="false">
      <c r="A118" s="0" t="n">
        <v>117</v>
      </c>
      <c r="B118" s="2" t="s">
        <v>130</v>
      </c>
      <c r="C118" s="2" t="s">
        <v>10</v>
      </c>
      <c r="D118" s="2" t="n">
        <v>77.85</v>
      </c>
      <c r="E118" s="2" t="n">
        <v>97.31</v>
      </c>
      <c r="F118" s="2" t="n">
        <v>85</v>
      </c>
      <c r="G118" s="2" t="n">
        <v>6617.25</v>
      </c>
      <c r="H118" s="2" t="n">
        <v>8271.35</v>
      </c>
      <c r="I118" s="2" t="n">
        <v>19.46</v>
      </c>
    </row>
    <row r="119" customFormat="false" ht="14.35" hidden="false" customHeight="false" outlineLevel="0" collapsed="false">
      <c r="A119" s="0" t="n">
        <v>118</v>
      </c>
      <c r="B119" s="2" t="s">
        <v>131</v>
      </c>
      <c r="C119" s="2" t="s">
        <v>13</v>
      </c>
      <c r="D119" s="2" t="n">
        <v>81.42</v>
      </c>
      <c r="E119" s="2" t="n">
        <v>102.59</v>
      </c>
      <c r="F119" s="2" t="n">
        <v>58</v>
      </c>
      <c r="G119" s="2" t="n">
        <v>4722.36</v>
      </c>
      <c r="H119" s="2" t="n">
        <v>5950.22</v>
      </c>
      <c r="I119" s="2" t="n">
        <v>21.17</v>
      </c>
    </row>
    <row r="120" customFormat="false" ht="14.35" hidden="false" customHeight="false" outlineLevel="0" collapsed="false">
      <c r="A120" s="0" t="n">
        <v>119</v>
      </c>
      <c r="B120" s="2" t="s">
        <v>132</v>
      </c>
      <c r="C120" s="2" t="s">
        <v>10</v>
      </c>
      <c r="D120" s="2" t="n">
        <v>65.15</v>
      </c>
      <c r="E120" s="2" t="n">
        <v>80.13</v>
      </c>
      <c r="F120" s="2" t="n">
        <v>144</v>
      </c>
      <c r="G120" s="2" t="n">
        <v>9381.6</v>
      </c>
      <c r="H120" s="2" t="n">
        <v>11538.72</v>
      </c>
      <c r="I120" s="2" t="n">
        <v>14.98</v>
      </c>
    </row>
    <row r="121" customFormat="false" ht="14.35" hidden="false" customHeight="false" outlineLevel="0" collapsed="false">
      <c r="A121" s="0" t="n">
        <v>120</v>
      </c>
      <c r="B121" s="2" t="s">
        <v>133</v>
      </c>
      <c r="C121" s="2" t="s">
        <v>13</v>
      </c>
      <c r="D121" s="2" t="n">
        <v>87.07</v>
      </c>
      <c r="E121" s="2" t="n">
        <v>119.29</v>
      </c>
      <c r="F121" s="2" t="n">
        <v>132</v>
      </c>
      <c r="G121" s="2" t="n">
        <v>11493.24</v>
      </c>
      <c r="H121" s="2" t="n">
        <v>15746.28</v>
      </c>
      <c r="I121" s="2" t="n">
        <v>32.22</v>
      </c>
    </row>
    <row r="122" customFormat="false" ht="14.35" hidden="false" customHeight="false" outlineLevel="0" collapsed="false">
      <c r="A122" s="0" t="n">
        <v>121</v>
      </c>
      <c r="B122" s="2" t="s">
        <v>134</v>
      </c>
      <c r="C122" s="2" t="s">
        <v>23</v>
      </c>
      <c r="D122" s="2" t="n">
        <v>100.32</v>
      </c>
      <c r="E122" s="2" t="n">
        <v>129.41</v>
      </c>
      <c r="F122" s="2" t="n">
        <v>91</v>
      </c>
      <c r="G122" s="2" t="n">
        <v>9129.12</v>
      </c>
      <c r="H122" s="2" t="n">
        <v>11776.31</v>
      </c>
      <c r="I122" s="2" t="n">
        <v>29.09</v>
      </c>
    </row>
    <row r="123" customFormat="false" ht="14.35" hidden="false" customHeight="false" outlineLevel="0" collapsed="false">
      <c r="A123" s="0" t="n">
        <v>122</v>
      </c>
      <c r="B123" s="2" t="s">
        <v>135</v>
      </c>
      <c r="C123" s="2" t="s">
        <v>13</v>
      </c>
      <c r="D123" s="2" t="n">
        <v>77.91</v>
      </c>
      <c r="E123" s="2" t="n">
        <v>98.17</v>
      </c>
      <c r="F123" s="2" t="n">
        <v>119</v>
      </c>
      <c r="G123" s="2" t="n">
        <v>9271.29</v>
      </c>
      <c r="H123" s="2" t="n">
        <v>11682.23</v>
      </c>
      <c r="I123" s="2" t="n">
        <v>20.26</v>
      </c>
    </row>
    <row r="124" customFormat="false" ht="14.35" hidden="false" customHeight="false" outlineLevel="0" collapsed="false">
      <c r="A124" s="0" t="n">
        <v>123</v>
      </c>
      <c r="B124" s="2" t="s">
        <v>136</v>
      </c>
      <c r="C124" s="2" t="s">
        <v>13</v>
      </c>
      <c r="D124" s="2" t="n">
        <v>56.06</v>
      </c>
      <c r="E124" s="2" t="n">
        <v>65.59</v>
      </c>
      <c r="F124" s="2" t="n">
        <v>109</v>
      </c>
      <c r="G124" s="2" t="n">
        <v>6110.54</v>
      </c>
      <c r="H124" s="2" t="n">
        <v>7149.31</v>
      </c>
      <c r="I124" s="2" t="n">
        <v>9.53</v>
      </c>
    </row>
    <row r="125" customFormat="false" ht="14.35" hidden="false" customHeight="false" outlineLevel="0" collapsed="false">
      <c r="A125" s="0" t="n">
        <v>124</v>
      </c>
      <c r="B125" s="2" t="s">
        <v>137</v>
      </c>
      <c r="C125" s="2" t="s">
        <v>10</v>
      </c>
      <c r="D125" s="2" t="n">
        <v>93.1</v>
      </c>
      <c r="E125" s="2" t="n">
        <v>124.75</v>
      </c>
      <c r="F125" s="2" t="n">
        <v>27</v>
      </c>
      <c r="G125" s="2" t="n">
        <v>2513.7</v>
      </c>
      <c r="H125" s="2" t="n">
        <v>3368.25</v>
      </c>
      <c r="I125" s="2" t="n">
        <v>31.65</v>
      </c>
    </row>
    <row r="126" customFormat="false" ht="14.35" hidden="false" customHeight="false" outlineLevel="0" collapsed="false">
      <c r="A126" s="0" t="n">
        <v>125</v>
      </c>
      <c r="B126" s="2" t="s">
        <v>138</v>
      </c>
      <c r="C126" s="2" t="s">
        <v>23</v>
      </c>
      <c r="D126" s="2" t="n">
        <v>85.29</v>
      </c>
      <c r="E126" s="2" t="n">
        <v>99.79</v>
      </c>
      <c r="F126" s="2" t="n">
        <v>142</v>
      </c>
      <c r="G126" s="2" t="n">
        <v>12111.18</v>
      </c>
      <c r="H126" s="2" t="n">
        <v>14170.18</v>
      </c>
      <c r="I126" s="2" t="n">
        <v>14.5</v>
      </c>
    </row>
    <row r="127" customFormat="false" ht="14.35" hidden="false" customHeight="false" outlineLevel="0" collapsed="false">
      <c r="A127" s="0" t="n">
        <v>126</v>
      </c>
      <c r="B127" s="2" t="s">
        <v>139</v>
      </c>
      <c r="C127" s="2" t="s">
        <v>30</v>
      </c>
      <c r="D127" s="2" t="n">
        <v>81.72</v>
      </c>
      <c r="E127" s="2" t="n">
        <v>102.15</v>
      </c>
      <c r="F127" s="2" t="n">
        <v>91</v>
      </c>
      <c r="G127" s="2" t="n">
        <v>7436.52</v>
      </c>
      <c r="H127" s="2" t="n">
        <v>9295.65</v>
      </c>
      <c r="I127" s="2" t="n">
        <v>20.43</v>
      </c>
    </row>
    <row r="128" customFormat="false" ht="14.35" hidden="false" customHeight="false" outlineLevel="0" collapsed="false">
      <c r="A128" s="0" t="n">
        <v>127</v>
      </c>
      <c r="B128" s="2" t="s">
        <v>140</v>
      </c>
      <c r="C128" s="2" t="s">
        <v>30</v>
      </c>
      <c r="D128" s="2" t="n">
        <v>89.04</v>
      </c>
      <c r="E128" s="2" t="n">
        <v>103.29</v>
      </c>
      <c r="F128" s="2" t="n">
        <v>126</v>
      </c>
      <c r="G128" s="2" t="n">
        <v>11219.04</v>
      </c>
      <c r="H128" s="2" t="n">
        <v>13014.54</v>
      </c>
      <c r="I128" s="2" t="n">
        <v>14.25</v>
      </c>
    </row>
    <row r="129" customFormat="false" ht="14.35" hidden="false" customHeight="false" outlineLevel="0" collapsed="false">
      <c r="A129" s="0" t="n">
        <v>128</v>
      </c>
      <c r="B129" s="2" t="s">
        <v>141</v>
      </c>
      <c r="C129" s="2" t="s">
        <v>10</v>
      </c>
      <c r="D129" s="2" t="n">
        <v>89.13</v>
      </c>
      <c r="E129" s="2" t="n">
        <v>114.09</v>
      </c>
      <c r="F129" s="2" t="n">
        <v>102</v>
      </c>
      <c r="G129" s="2" t="n">
        <v>9091.26</v>
      </c>
      <c r="H129" s="2" t="n">
        <v>11637.18</v>
      </c>
      <c r="I129" s="2" t="n">
        <v>24.96</v>
      </c>
    </row>
    <row r="130" customFormat="false" ht="14.35" hidden="false" customHeight="false" outlineLevel="0" collapsed="false">
      <c r="A130" s="0" t="n">
        <v>129</v>
      </c>
      <c r="B130" s="2" t="s">
        <v>142</v>
      </c>
      <c r="C130" s="2" t="s">
        <v>13</v>
      </c>
      <c r="D130" s="2" t="n">
        <v>40.59</v>
      </c>
      <c r="E130" s="2" t="n">
        <v>49.11</v>
      </c>
      <c r="F130" s="2" t="n">
        <v>101</v>
      </c>
      <c r="G130" s="2" t="n">
        <v>4099.59</v>
      </c>
      <c r="H130" s="2" t="n">
        <v>4960.11</v>
      </c>
      <c r="I130" s="2" t="n">
        <v>8.52</v>
      </c>
    </row>
    <row r="131" customFormat="false" ht="14.35" hidden="false" customHeight="false" outlineLevel="0" collapsed="false">
      <c r="A131" s="0" t="n">
        <v>130</v>
      </c>
      <c r="B131" s="2" t="s">
        <v>143</v>
      </c>
      <c r="C131" s="2" t="s">
        <v>10</v>
      </c>
      <c r="D131" s="2" t="n">
        <v>11.41</v>
      </c>
      <c r="E131" s="2" t="n">
        <v>12.78</v>
      </c>
      <c r="F131" s="2" t="n">
        <v>83</v>
      </c>
      <c r="G131" s="2" t="n">
        <v>947.03</v>
      </c>
      <c r="H131" s="2" t="n">
        <v>1060.74</v>
      </c>
      <c r="I131" s="2" t="n">
        <v>1.37</v>
      </c>
    </row>
    <row r="132" customFormat="false" ht="14.35" hidden="false" customHeight="false" outlineLevel="0" collapsed="false">
      <c r="A132" s="0" t="n">
        <v>131</v>
      </c>
      <c r="B132" s="2" t="s">
        <v>144</v>
      </c>
      <c r="C132" s="2" t="s">
        <v>23</v>
      </c>
      <c r="D132" s="2" t="n">
        <v>99.68</v>
      </c>
      <c r="E132" s="2" t="n">
        <v>133.57</v>
      </c>
      <c r="F132" s="2" t="n">
        <v>105</v>
      </c>
      <c r="G132" s="2" t="n">
        <v>10466.4</v>
      </c>
      <c r="H132" s="2" t="n">
        <v>14024.85</v>
      </c>
      <c r="I132" s="2" t="n">
        <v>33.89</v>
      </c>
    </row>
    <row r="133" customFormat="false" ht="14.35" hidden="false" customHeight="false" outlineLevel="0" collapsed="false">
      <c r="A133" s="0" t="n">
        <v>132</v>
      </c>
      <c r="B133" s="2" t="s">
        <v>145</v>
      </c>
      <c r="C133" s="2" t="s">
        <v>13</v>
      </c>
      <c r="D133" s="2" t="n">
        <v>16.67</v>
      </c>
      <c r="E133" s="2" t="n">
        <v>23</v>
      </c>
      <c r="F133" s="2" t="n">
        <v>108</v>
      </c>
      <c r="G133" s="2" t="n">
        <v>1800.36</v>
      </c>
      <c r="H133" s="2" t="n">
        <v>2484</v>
      </c>
      <c r="I133" s="2" t="n">
        <v>6.33</v>
      </c>
    </row>
    <row r="134" customFormat="false" ht="14.35" hidden="false" customHeight="false" outlineLevel="0" collapsed="false">
      <c r="A134" s="0" t="n">
        <v>133</v>
      </c>
      <c r="B134" s="2" t="s">
        <v>146</v>
      </c>
      <c r="C134" s="2" t="s">
        <v>13</v>
      </c>
      <c r="D134" s="2" t="n">
        <v>22.66</v>
      </c>
      <c r="E134" s="2" t="n">
        <v>29.68</v>
      </c>
      <c r="F134" s="2" t="n">
        <v>78</v>
      </c>
      <c r="G134" s="2" t="n">
        <v>1767.48</v>
      </c>
      <c r="H134" s="2" t="n">
        <v>2315.04</v>
      </c>
      <c r="I134" s="2" t="n">
        <v>7.02</v>
      </c>
    </row>
    <row r="135" customFormat="false" ht="14.35" hidden="false" customHeight="false" outlineLevel="0" collapsed="false">
      <c r="A135" s="0" t="n">
        <v>134</v>
      </c>
      <c r="B135" s="2" t="s">
        <v>147</v>
      </c>
      <c r="C135" s="2" t="s">
        <v>15</v>
      </c>
      <c r="D135" s="2" t="n">
        <v>35.05</v>
      </c>
      <c r="E135" s="2" t="n">
        <v>49.07</v>
      </c>
      <c r="F135" s="2" t="n">
        <v>20</v>
      </c>
      <c r="G135" s="2" t="n">
        <v>701</v>
      </c>
      <c r="H135" s="2" t="n">
        <v>981.4</v>
      </c>
      <c r="I135" s="2" t="n">
        <v>14.02</v>
      </c>
    </row>
    <row r="136" customFormat="false" ht="14.35" hidden="false" customHeight="false" outlineLevel="0" collapsed="false">
      <c r="A136" s="0" t="n">
        <v>135</v>
      </c>
      <c r="B136" s="2" t="s">
        <v>148</v>
      </c>
      <c r="C136" s="2" t="s">
        <v>15</v>
      </c>
      <c r="D136" s="2" t="n">
        <v>43.04</v>
      </c>
      <c r="E136" s="2" t="n">
        <v>58.1</v>
      </c>
      <c r="F136" s="2" t="n">
        <v>27</v>
      </c>
      <c r="G136" s="2" t="n">
        <v>1162.08</v>
      </c>
      <c r="H136" s="2" t="n">
        <v>1568.7</v>
      </c>
      <c r="I136" s="2" t="n">
        <v>15.06</v>
      </c>
    </row>
    <row r="137" customFormat="false" ht="14.35" hidden="false" customHeight="false" outlineLevel="0" collapsed="false">
      <c r="A137" s="0" t="n">
        <v>136</v>
      </c>
      <c r="B137" s="2" t="s">
        <v>149</v>
      </c>
      <c r="C137" s="2" t="s">
        <v>30</v>
      </c>
      <c r="D137" s="2" t="n">
        <v>87.97</v>
      </c>
      <c r="E137" s="2" t="n">
        <v>117</v>
      </c>
      <c r="F137" s="2" t="n">
        <v>23</v>
      </c>
      <c r="G137" s="2" t="n">
        <v>2023.31</v>
      </c>
      <c r="H137" s="2" t="n">
        <v>2691</v>
      </c>
      <c r="I137" s="2" t="n">
        <v>29.03</v>
      </c>
    </row>
    <row r="138" customFormat="false" ht="14.35" hidden="false" customHeight="false" outlineLevel="0" collapsed="false">
      <c r="A138" s="0" t="n">
        <v>137</v>
      </c>
      <c r="B138" s="2" t="s">
        <v>150</v>
      </c>
      <c r="C138" s="2" t="s">
        <v>30</v>
      </c>
      <c r="D138" s="2" t="n">
        <v>22.81</v>
      </c>
      <c r="E138" s="2" t="n">
        <v>26</v>
      </c>
      <c r="F138" s="2" t="n">
        <v>82</v>
      </c>
      <c r="G138" s="2" t="n">
        <v>1870.42</v>
      </c>
      <c r="H138" s="2" t="n">
        <v>2132</v>
      </c>
      <c r="I138" s="2" t="n">
        <v>3.19</v>
      </c>
    </row>
    <row r="139" customFormat="false" ht="14.35" hidden="false" customHeight="false" outlineLevel="0" collapsed="false">
      <c r="A139" s="0" t="n">
        <v>138</v>
      </c>
      <c r="B139" s="2" t="s">
        <v>151</v>
      </c>
      <c r="C139" s="2" t="s">
        <v>30</v>
      </c>
      <c r="D139" s="2" t="n">
        <v>86.77</v>
      </c>
      <c r="E139" s="2" t="n">
        <v>103.26</v>
      </c>
      <c r="F139" s="2" t="n">
        <v>114</v>
      </c>
      <c r="G139" s="2" t="n">
        <v>9891.78</v>
      </c>
      <c r="H139" s="2" t="n">
        <v>11771.64</v>
      </c>
      <c r="I139" s="2" t="n">
        <v>16.49</v>
      </c>
    </row>
    <row r="140" customFormat="false" ht="14.35" hidden="false" customHeight="false" outlineLevel="0" collapsed="false">
      <c r="A140" s="0" t="n">
        <v>139</v>
      </c>
      <c r="B140" s="2" t="s">
        <v>152</v>
      </c>
      <c r="C140" s="2" t="s">
        <v>15</v>
      </c>
      <c r="D140" s="2" t="n">
        <v>70.07</v>
      </c>
      <c r="E140" s="2" t="n">
        <v>86.19</v>
      </c>
      <c r="F140" s="2" t="n">
        <v>66</v>
      </c>
      <c r="G140" s="2" t="n">
        <v>4624.62</v>
      </c>
      <c r="H140" s="2" t="n">
        <v>5688.54</v>
      </c>
      <c r="I140" s="2" t="n">
        <v>16.12</v>
      </c>
    </row>
    <row r="141" customFormat="false" ht="14.35" hidden="false" customHeight="false" outlineLevel="0" collapsed="false">
      <c r="A141" s="0" t="n">
        <v>140</v>
      </c>
      <c r="B141" s="2" t="s">
        <v>153</v>
      </c>
      <c r="C141" s="2" t="s">
        <v>13</v>
      </c>
      <c r="D141" s="2" t="n">
        <v>90.19</v>
      </c>
      <c r="E141" s="2" t="n">
        <v>105.52</v>
      </c>
      <c r="F141" s="2" t="n">
        <v>26</v>
      </c>
      <c r="G141" s="2" t="n">
        <v>2344.94</v>
      </c>
      <c r="H141" s="2" t="n">
        <v>2743.52</v>
      </c>
      <c r="I141" s="2" t="n">
        <v>15.33</v>
      </c>
    </row>
    <row r="142" customFormat="false" ht="14.35" hidden="false" customHeight="false" outlineLevel="0" collapsed="false">
      <c r="A142" s="0" t="n">
        <v>141</v>
      </c>
      <c r="B142" s="2" t="s">
        <v>154</v>
      </c>
      <c r="C142" s="2" t="s">
        <v>23</v>
      </c>
      <c r="D142" s="2" t="n">
        <v>70.92</v>
      </c>
      <c r="E142" s="2" t="n">
        <v>99.29</v>
      </c>
      <c r="F142" s="2" t="n">
        <v>119</v>
      </c>
      <c r="G142" s="2" t="n">
        <v>8439.48</v>
      </c>
      <c r="H142" s="2" t="n">
        <v>11815.51</v>
      </c>
      <c r="I142" s="2" t="n">
        <v>28.37</v>
      </c>
    </row>
    <row r="143" customFormat="false" ht="14.35" hidden="false" customHeight="false" outlineLevel="0" collapsed="false">
      <c r="A143" s="0" t="n">
        <v>142</v>
      </c>
      <c r="B143" s="2" t="s">
        <v>155</v>
      </c>
      <c r="C143" s="2" t="s">
        <v>30</v>
      </c>
      <c r="D143" s="2" t="n">
        <v>33.08</v>
      </c>
      <c r="E143" s="2" t="n">
        <v>39.37</v>
      </c>
      <c r="F143" s="2" t="n">
        <v>55</v>
      </c>
      <c r="G143" s="2" t="n">
        <v>1819.4</v>
      </c>
      <c r="H143" s="2" t="n">
        <v>2165.35</v>
      </c>
      <c r="I143" s="2" t="n">
        <v>6.29</v>
      </c>
    </row>
    <row r="144" customFormat="false" ht="14.35" hidden="false" customHeight="false" outlineLevel="0" collapsed="false">
      <c r="A144" s="0" t="n">
        <v>143</v>
      </c>
      <c r="B144" s="2" t="s">
        <v>156</v>
      </c>
      <c r="C144" s="2" t="s">
        <v>10</v>
      </c>
      <c r="D144" s="2" t="n">
        <v>16.93</v>
      </c>
      <c r="E144" s="2" t="n">
        <v>20.99</v>
      </c>
      <c r="F144" s="2" t="n">
        <v>3</v>
      </c>
      <c r="G144" s="2" t="n">
        <v>50.79</v>
      </c>
      <c r="H144" s="2" t="n">
        <v>62.97</v>
      </c>
      <c r="I144" s="2" t="n">
        <v>4.06</v>
      </c>
    </row>
    <row r="145" customFormat="false" ht="14.35" hidden="false" customHeight="false" outlineLevel="0" collapsed="false">
      <c r="A145" s="0" t="n">
        <v>144</v>
      </c>
      <c r="B145" s="2" t="s">
        <v>157</v>
      </c>
      <c r="C145" s="2" t="s">
        <v>10</v>
      </c>
      <c r="D145" s="2" t="n">
        <v>98.73</v>
      </c>
      <c r="E145" s="2" t="n">
        <v>130.32</v>
      </c>
      <c r="F145" s="2" t="n">
        <v>101</v>
      </c>
      <c r="G145" s="2" t="n">
        <v>9971.73</v>
      </c>
      <c r="H145" s="2" t="n">
        <v>13162.32</v>
      </c>
      <c r="I145" s="2" t="n">
        <v>31.59</v>
      </c>
    </row>
    <row r="146" customFormat="false" ht="14.35" hidden="false" customHeight="false" outlineLevel="0" collapsed="false">
      <c r="A146" s="0" t="n">
        <v>145</v>
      </c>
      <c r="B146" s="2" t="s">
        <v>158</v>
      </c>
      <c r="C146" s="2" t="s">
        <v>15</v>
      </c>
      <c r="D146" s="2" t="n">
        <v>78.78</v>
      </c>
      <c r="E146" s="2" t="n">
        <v>87.45</v>
      </c>
      <c r="F146" s="2" t="n">
        <v>117</v>
      </c>
      <c r="G146" s="2" t="n">
        <v>9217.26</v>
      </c>
      <c r="H146" s="2" t="n">
        <v>10231.65</v>
      </c>
      <c r="I146" s="2" t="n">
        <v>8.67</v>
      </c>
    </row>
    <row r="147" customFormat="false" ht="14.35" hidden="false" customHeight="false" outlineLevel="0" collapsed="false">
      <c r="A147" s="0" t="n">
        <v>146</v>
      </c>
      <c r="B147" s="2" t="s">
        <v>159</v>
      </c>
      <c r="C147" s="2" t="s">
        <v>30</v>
      </c>
      <c r="D147" s="2" t="n">
        <v>25.65</v>
      </c>
      <c r="E147" s="2" t="n">
        <v>31.81</v>
      </c>
      <c r="F147" s="2" t="n">
        <v>41</v>
      </c>
      <c r="G147" s="2" t="n">
        <v>1051.65</v>
      </c>
      <c r="H147" s="2" t="n">
        <v>1304.21</v>
      </c>
      <c r="I147" s="2" t="n">
        <v>6.16</v>
      </c>
    </row>
    <row r="148" customFormat="false" ht="14.35" hidden="false" customHeight="false" outlineLevel="0" collapsed="false">
      <c r="A148" s="0" t="n">
        <v>147</v>
      </c>
      <c r="B148" s="2" t="s">
        <v>160</v>
      </c>
      <c r="C148" s="2" t="s">
        <v>13</v>
      </c>
      <c r="D148" s="2" t="n">
        <v>14.21</v>
      </c>
      <c r="E148" s="2" t="n">
        <v>17.76</v>
      </c>
      <c r="F148" s="2" t="n">
        <v>106</v>
      </c>
      <c r="G148" s="2" t="n">
        <v>1506.26</v>
      </c>
      <c r="H148" s="2" t="n">
        <v>1882.56</v>
      </c>
      <c r="I148" s="2" t="n">
        <v>3.55</v>
      </c>
    </row>
    <row r="149" customFormat="false" ht="14.35" hidden="false" customHeight="false" outlineLevel="0" collapsed="false">
      <c r="A149" s="0" t="n">
        <v>148</v>
      </c>
      <c r="B149" s="2" t="s">
        <v>161</v>
      </c>
      <c r="C149" s="2" t="s">
        <v>15</v>
      </c>
      <c r="D149" s="2" t="n">
        <v>93.77</v>
      </c>
      <c r="E149" s="2" t="n">
        <v>122.84</v>
      </c>
      <c r="F149" s="2" t="n">
        <v>2</v>
      </c>
      <c r="G149" s="2" t="n">
        <v>187.54</v>
      </c>
      <c r="H149" s="2" t="n">
        <v>245.68</v>
      </c>
      <c r="I149" s="2" t="n">
        <v>29.07</v>
      </c>
    </row>
    <row r="150" customFormat="false" ht="14.35" hidden="false" customHeight="false" outlineLevel="0" collapsed="false">
      <c r="A150" s="0" t="n">
        <v>149</v>
      </c>
      <c r="B150" s="2" t="s">
        <v>162</v>
      </c>
      <c r="C150" s="2" t="s">
        <v>30</v>
      </c>
      <c r="D150" s="2" t="n">
        <v>43.33</v>
      </c>
      <c r="E150" s="2" t="n">
        <v>54.6</v>
      </c>
      <c r="F150" s="2" t="n">
        <v>6</v>
      </c>
      <c r="G150" s="2" t="n">
        <v>259.98</v>
      </c>
      <c r="H150" s="2" t="n">
        <v>327.6</v>
      </c>
      <c r="I150" s="2" t="n">
        <v>11.27</v>
      </c>
    </row>
    <row r="151" customFormat="false" ht="14.35" hidden="false" customHeight="false" outlineLevel="0" collapsed="false">
      <c r="A151" s="0" t="n">
        <v>150</v>
      </c>
      <c r="B151" s="2" t="s">
        <v>163</v>
      </c>
      <c r="C151" s="2" t="s">
        <v>15</v>
      </c>
      <c r="D151" s="2" t="n">
        <v>58.83</v>
      </c>
      <c r="E151" s="2" t="n">
        <v>68.24</v>
      </c>
      <c r="F151" s="2" t="n">
        <v>63</v>
      </c>
      <c r="G151" s="2" t="n">
        <v>3706.29</v>
      </c>
      <c r="H151" s="2" t="n">
        <v>4299.12</v>
      </c>
      <c r="I151" s="2" t="n">
        <v>9.41</v>
      </c>
    </row>
    <row r="152" customFormat="false" ht="14.35" hidden="false" customHeight="false" outlineLevel="0" collapsed="false">
      <c r="A152" s="0" t="n">
        <v>151</v>
      </c>
      <c r="B152" s="2" t="s">
        <v>164</v>
      </c>
      <c r="C152" s="2" t="s">
        <v>23</v>
      </c>
      <c r="D152" s="2" t="n">
        <v>57.31</v>
      </c>
      <c r="E152" s="2" t="n">
        <v>64.76</v>
      </c>
      <c r="F152" s="2" t="n">
        <v>68</v>
      </c>
      <c r="G152" s="2" t="n">
        <v>3897.08</v>
      </c>
      <c r="H152" s="2" t="n">
        <v>4403.68</v>
      </c>
      <c r="I152" s="2" t="n">
        <v>7.45</v>
      </c>
    </row>
    <row r="153" customFormat="false" ht="14.35" hidden="false" customHeight="false" outlineLevel="0" collapsed="false">
      <c r="A153" s="0" t="n">
        <v>152</v>
      </c>
      <c r="B153" s="2" t="s">
        <v>165</v>
      </c>
      <c r="C153" s="2" t="s">
        <v>13</v>
      </c>
      <c r="D153" s="2" t="n">
        <v>26.81</v>
      </c>
      <c r="E153" s="2" t="n">
        <v>31.37</v>
      </c>
      <c r="F153" s="2" t="n">
        <v>93</v>
      </c>
      <c r="G153" s="2" t="n">
        <v>2493.33</v>
      </c>
      <c r="H153" s="2" t="n">
        <v>2917.41</v>
      </c>
      <c r="I153" s="2" t="n">
        <v>4.56</v>
      </c>
    </row>
    <row r="154" customFormat="false" ht="14.35" hidden="false" customHeight="false" outlineLevel="0" collapsed="false">
      <c r="A154" s="0" t="n">
        <v>153</v>
      </c>
      <c r="B154" s="2" t="s">
        <v>166</v>
      </c>
      <c r="C154" s="2" t="s">
        <v>30</v>
      </c>
      <c r="D154" s="2" t="n">
        <v>52.95</v>
      </c>
      <c r="E154" s="2" t="n">
        <v>66.72</v>
      </c>
      <c r="F154" s="2" t="n">
        <v>87</v>
      </c>
      <c r="G154" s="2" t="n">
        <v>4606.65</v>
      </c>
      <c r="H154" s="2" t="n">
        <v>5804.64</v>
      </c>
      <c r="I154" s="2" t="n">
        <v>13.77</v>
      </c>
    </row>
    <row r="155" customFormat="false" ht="14.35" hidden="false" customHeight="false" outlineLevel="0" collapsed="false">
      <c r="A155" s="0" t="n">
        <v>154</v>
      </c>
      <c r="B155" s="2" t="s">
        <v>167</v>
      </c>
      <c r="C155" s="2" t="s">
        <v>10</v>
      </c>
      <c r="D155" s="2" t="n">
        <v>20.54</v>
      </c>
      <c r="E155" s="2" t="n">
        <v>23.42</v>
      </c>
      <c r="F155" s="2" t="n">
        <v>73</v>
      </c>
      <c r="G155" s="2" t="n">
        <v>1499.42</v>
      </c>
      <c r="H155" s="2" t="n">
        <v>1709.66</v>
      </c>
      <c r="I155" s="2" t="n">
        <v>2.88</v>
      </c>
    </row>
    <row r="156" customFormat="false" ht="14.35" hidden="false" customHeight="false" outlineLevel="0" collapsed="false">
      <c r="A156" s="0" t="n">
        <v>155</v>
      </c>
      <c r="B156" s="2" t="s">
        <v>168</v>
      </c>
      <c r="C156" s="2" t="s">
        <v>15</v>
      </c>
      <c r="D156" s="2" t="n">
        <v>100.05</v>
      </c>
      <c r="E156" s="2" t="n">
        <v>134.07</v>
      </c>
      <c r="F156" s="2" t="n">
        <v>58</v>
      </c>
      <c r="G156" s="2" t="n">
        <v>5802.9</v>
      </c>
      <c r="H156" s="2" t="n">
        <v>7776.06</v>
      </c>
      <c r="I156" s="2" t="n">
        <v>34.02</v>
      </c>
    </row>
    <row r="157" customFormat="false" ht="14.35" hidden="false" customHeight="false" outlineLevel="0" collapsed="false">
      <c r="A157" s="0" t="n">
        <v>156</v>
      </c>
      <c r="B157" s="2" t="s">
        <v>169</v>
      </c>
      <c r="C157" s="2" t="s">
        <v>10</v>
      </c>
      <c r="D157" s="2" t="n">
        <v>87.56</v>
      </c>
      <c r="E157" s="2" t="n">
        <v>108.57</v>
      </c>
      <c r="F157" s="2" t="n">
        <v>64</v>
      </c>
      <c r="G157" s="2" t="n">
        <v>5603.84</v>
      </c>
      <c r="H157" s="2" t="n">
        <v>6948.48</v>
      </c>
      <c r="I157" s="2" t="n">
        <v>21.01</v>
      </c>
    </row>
    <row r="158" customFormat="false" ht="14.35" hidden="false" customHeight="false" outlineLevel="0" collapsed="false">
      <c r="A158" s="0" t="n">
        <v>157</v>
      </c>
      <c r="B158" s="2" t="s">
        <v>170</v>
      </c>
      <c r="C158" s="2" t="s">
        <v>13</v>
      </c>
      <c r="D158" s="2" t="n">
        <v>74.29</v>
      </c>
      <c r="E158" s="2" t="n">
        <v>87.66</v>
      </c>
      <c r="F158" s="2" t="n">
        <v>16</v>
      </c>
      <c r="G158" s="2" t="n">
        <v>1188.64</v>
      </c>
      <c r="H158" s="2" t="n">
        <v>1402.56</v>
      </c>
      <c r="I158" s="2" t="n">
        <v>13.37</v>
      </c>
    </row>
    <row r="159" customFormat="false" ht="14.35" hidden="false" customHeight="false" outlineLevel="0" collapsed="false">
      <c r="A159" s="0" t="n">
        <v>158</v>
      </c>
      <c r="B159" s="2" t="s">
        <v>171</v>
      </c>
      <c r="C159" s="2" t="s">
        <v>30</v>
      </c>
      <c r="D159" s="2" t="n">
        <v>47.71</v>
      </c>
      <c r="E159" s="2" t="n">
        <v>53.91</v>
      </c>
      <c r="F159" s="2" t="n">
        <v>71</v>
      </c>
      <c r="G159" s="2" t="n">
        <v>3387.41</v>
      </c>
      <c r="H159" s="2" t="n">
        <v>3827.61</v>
      </c>
      <c r="I159" s="2" t="n">
        <v>6.2</v>
      </c>
    </row>
    <row r="160" customFormat="false" ht="14.35" hidden="false" customHeight="false" outlineLevel="0" collapsed="false">
      <c r="A160" s="0" t="n">
        <v>159</v>
      </c>
      <c r="B160" s="2" t="s">
        <v>172</v>
      </c>
      <c r="C160" s="2" t="s">
        <v>23</v>
      </c>
      <c r="D160" s="2" t="n">
        <v>15.34</v>
      </c>
      <c r="E160" s="2" t="n">
        <v>18.41</v>
      </c>
      <c r="F160" s="2" t="n">
        <v>35</v>
      </c>
      <c r="G160" s="2" t="n">
        <v>536.9</v>
      </c>
      <c r="H160" s="2" t="n">
        <v>644.35</v>
      </c>
      <c r="I160" s="2" t="n">
        <v>3.07</v>
      </c>
    </row>
    <row r="161" customFormat="false" ht="14.35" hidden="false" customHeight="false" outlineLevel="0" collapsed="false">
      <c r="A161" s="0" t="n">
        <v>160</v>
      </c>
      <c r="B161" s="2" t="s">
        <v>173</v>
      </c>
      <c r="C161" s="2" t="s">
        <v>23</v>
      </c>
      <c r="D161" s="2" t="n">
        <v>16.48</v>
      </c>
      <c r="E161" s="2" t="n">
        <v>23.07</v>
      </c>
      <c r="F161" s="2" t="n">
        <v>144</v>
      </c>
      <c r="G161" s="2" t="n">
        <v>2373.12</v>
      </c>
      <c r="H161" s="2" t="n">
        <v>3322.08</v>
      </c>
      <c r="I161" s="2" t="n">
        <v>6.59</v>
      </c>
    </row>
    <row r="162" customFormat="false" ht="14.35" hidden="false" customHeight="false" outlineLevel="0" collapsed="false">
      <c r="A162" s="0" t="n">
        <v>161</v>
      </c>
      <c r="B162" s="2" t="s">
        <v>174</v>
      </c>
      <c r="C162" s="2" t="s">
        <v>15</v>
      </c>
      <c r="D162" s="2" t="n">
        <v>73.16</v>
      </c>
      <c r="E162" s="2" t="n">
        <v>86.33</v>
      </c>
      <c r="F162" s="2" t="n">
        <v>77</v>
      </c>
      <c r="G162" s="2" t="n">
        <v>5633.32</v>
      </c>
      <c r="H162" s="2" t="n">
        <v>6647.41</v>
      </c>
      <c r="I162" s="2" t="n">
        <v>13.17</v>
      </c>
    </row>
    <row r="163" customFormat="false" ht="14.35" hidden="false" customHeight="false" outlineLevel="0" collapsed="false">
      <c r="A163" s="0" t="n">
        <v>162</v>
      </c>
      <c r="B163" s="2" t="s">
        <v>175</v>
      </c>
      <c r="C163" s="2" t="s">
        <v>15</v>
      </c>
      <c r="D163" s="2" t="n">
        <v>74.46</v>
      </c>
      <c r="E163" s="2" t="n">
        <v>94.56</v>
      </c>
      <c r="F163" s="2" t="n">
        <v>94</v>
      </c>
      <c r="G163" s="2" t="n">
        <v>6999.24</v>
      </c>
      <c r="H163" s="2" t="n">
        <v>8888.64</v>
      </c>
      <c r="I163" s="2" t="n">
        <v>20.1</v>
      </c>
    </row>
    <row r="164" customFormat="false" ht="14.35" hidden="false" customHeight="false" outlineLevel="0" collapsed="false">
      <c r="A164" s="0" t="n">
        <v>163</v>
      </c>
      <c r="B164" s="2" t="s">
        <v>176</v>
      </c>
      <c r="C164" s="2" t="s">
        <v>13</v>
      </c>
      <c r="D164" s="2" t="n">
        <v>59.67</v>
      </c>
      <c r="E164" s="2" t="n">
        <v>68.02</v>
      </c>
      <c r="F164" s="2" t="n">
        <v>106</v>
      </c>
      <c r="G164" s="2" t="n">
        <v>6325.02</v>
      </c>
      <c r="H164" s="2" t="n">
        <v>7210.12</v>
      </c>
      <c r="I164" s="2" t="n">
        <v>8.34999999999999</v>
      </c>
    </row>
    <row r="165" customFormat="false" ht="14.35" hidden="false" customHeight="false" outlineLevel="0" collapsed="false">
      <c r="A165" s="0" t="n">
        <v>164</v>
      </c>
      <c r="B165" s="2" t="s">
        <v>177</v>
      </c>
      <c r="C165" s="2" t="s">
        <v>23</v>
      </c>
      <c r="D165" s="2" t="n">
        <v>89.38</v>
      </c>
      <c r="E165" s="2" t="n">
        <v>117.09</v>
      </c>
      <c r="F165" s="2" t="n">
        <v>136</v>
      </c>
      <c r="G165" s="2" t="n">
        <v>12155.68</v>
      </c>
      <c r="H165" s="2" t="n">
        <v>15924.24</v>
      </c>
      <c r="I165" s="2" t="n">
        <v>27.71</v>
      </c>
    </row>
    <row r="166" customFormat="false" ht="14.35" hidden="false" customHeight="false" outlineLevel="0" collapsed="false">
      <c r="A166" s="0" t="n">
        <v>165</v>
      </c>
      <c r="B166" s="2" t="s">
        <v>178</v>
      </c>
      <c r="C166" s="2" t="s">
        <v>30</v>
      </c>
      <c r="D166" s="2" t="n">
        <v>59.19</v>
      </c>
      <c r="E166" s="2" t="n">
        <v>77.54</v>
      </c>
      <c r="F166" s="2" t="n">
        <v>49</v>
      </c>
      <c r="G166" s="2" t="n">
        <v>2900.31</v>
      </c>
      <c r="H166" s="2" t="n">
        <v>3799.46</v>
      </c>
      <c r="I166" s="2" t="n">
        <v>18.35</v>
      </c>
    </row>
    <row r="167" customFormat="false" ht="14.35" hidden="false" customHeight="false" outlineLevel="0" collapsed="false">
      <c r="A167" s="0" t="n">
        <v>166</v>
      </c>
      <c r="B167" s="2" t="s">
        <v>179</v>
      </c>
      <c r="C167" s="2" t="s">
        <v>10</v>
      </c>
      <c r="D167" s="2" t="n">
        <v>36.31</v>
      </c>
      <c r="E167" s="2" t="n">
        <v>45.02</v>
      </c>
      <c r="F167" s="2" t="n">
        <v>128</v>
      </c>
      <c r="G167" s="2" t="n">
        <v>4647.68</v>
      </c>
      <c r="H167" s="2" t="n">
        <v>5762.56</v>
      </c>
      <c r="I167" s="2" t="n">
        <v>8.71</v>
      </c>
    </row>
    <row r="168" customFormat="false" ht="14.35" hidden="false" customHeight="false" outlineLevel="0" collapsed="false">
      <c r="A168" s="0" t="n">
        <v>167</v>
      </c>
      <c r="B168" s="2" t="s">
        <v>180</v>
      </c>
      <c r="C168" s="2" t="s">
        <v>13</v>
      </c>
      <c r="D168" s="2" t="n">
        <v>24.79</v>
      </c>
      <c r="E168" s="2" t="n">
        <v>33.96</v>
      </c>
      <c r="F168" s="2" t="n">
        <v>23</v>
      </c>
      <c r="G168" s="2" t="n">
        <v>570.17</v>
      </c>
      <c r="H168" s="2" t="n">
        <v>781.08</v>
      </c>
      <c r="I168" s="2" t="n">
        <v>9.17</v>
      </c>
    </row>
    <row r="169" customFormat="false" ht="14.35" hidden="false" customHeight="false" outlineLevel="0" collapsed="false">
      <c r="A169" s="0" t="n">
        <v>168</v>
      </c>
      <c r="B169" s="2" t="s">
        <v>181</v>
      </c>
      <c r="C169" s="2" t="s">
        <v>30</v>
      </c>
      <c r="D169" s="2" t="n">
        <v>36.51</v>
      </c>
      <c r="E169" s="2" t="n">
        <v>50.75</v>
      </c>
      <c r="F169" s="2" t="n">
        <v>31</v>
      </c>
      <c r="G169" s="2" t="n">
        <v>1131.81</v>
      </c>
      <c r="H169" s="2" t="n">
        <v>1573.25</v>
      </c>
      <c r="I169" s="2" t="n">
        <v>14.24</v>
      </c>
    </row>
    <row r="170" customFormat="false" ht="14.35" hidden="false" customHeight="false" outlineLevel="0" collapsed="false">
      <c r="A170" s="0" t="n">
        <v>169</v>
      </c>
      <c r="B170" s="2" t="s">
        <v>182</v>
      </c>
      <c r="C170" s="2" t="s">
        <v>10</v>
      </c>
      <c r="D170" s="2" t="n">
        <v>68.05</v>
      </c>
      <c r="E170" s="2" t="n">
        <v>84.38</v>
      </c>
      <c r="F170" s="2" t="n">
        <v>135</v>
      </c>
      <c r="G170" s="2" t="n">
        <v>9186.75</v>
      </c>
      <c r="H170" s="2" t="n">
        <v>11391.3</v>
      </c>
      <c r="I170" s="2" t="n">
        <v>16.33</v>
      </c>
    </row>
    <row r="171" customFormat="false" ht="14.35" hidden="false" customHeight="false" outlineLevel="0" collapsed="false">
      <c r="A171" s="0" t="n">
        <v>170</v>
      </c>
      <c r="B171" s="2" t="s">
        <v>183</v>
      </c>
      <c r="C171" s="2" t="s">
        <v>23</v>
      </c>
      <c r="D171" s="2" t="n">
        <v>26.87</v>
      </c>
      <c r="E171" s="2" t="n">
        <v>37.08</v>
      </c>
      <c r="F171" s="2" t="n">
        <v>15</v>
      </c>
      <c r="G171" s="2" t="n">
        <v>403.05</v>
      </c>
      <c r="H171" s="2" t="n">
        <v>556.2</v>
      </c>
      <c r="I171" s="2" t="n">
        <v>10.21</v>
      </c>
    </row>
    <row r="172" customFormat="false" ht="14.35" hidden="false" customHeight="false" outlineLevel="0" collapsed="false">
      <c r="A172" s="0" t="n">
        <v>171</v>
      </c>
      <c r="B172" s="2" t="s">
        <v>184</v>
      </c>
      <c r="C172" s="2" t="s">
        <v>23</v>
      </c>
      <c r="D172" s="2" t="n">
        <v>59.76</v>
      </c>
      <c r="E172" s="2" t="n">
        <v>71.71</v>
      </c>
      <c r="F172" s="2" t="n">
        <v>11</v>
      </c>
      <c r="G172" s="2" t="n">
        <v>657.36</v>
      </c>
      <c r="H172" s="2" t="n">
        <v>788.81</v>
      </c>
      <c r="I172" s="2" t="n">
        <v>11.95</v>
      </c>
    </row>
    <row r="173" customFormat="false" ht="14.35" hidden="false" customHeight="false" outlineLevel="0" collapsed="false">
      <c r="A173" s="0" t="n">
        <v>172</v>
      </c>
      <c r="B173" s="2" t="s">
        <v>185</v>
      </c>
      <c r="C173" s="2" t="s">
        <v>13</v>
      </c>
      <c r="D173" s="2" t="n">
        <v>36.48</v>
      </c>
      <c r="E173" s="2" t="n">
        <v>46.33</v>
      </c>
      <c r="F173" s="2" t="n">
        <v>39</v>
      </c>
      <c r="G173" s="2" t="n">
        <v>1422.72</v>
      </c>
      <c r="H173" s="2" t="n">
        <v>1806.87</v>
      </c>
      <c r="I173" s="2" t="n">
        <v>9.85</v>
      </c>
    </row>
    <row r="174" customFormat="false" ht="14.35" hidden="false" customHeight="false" outlineLevel="0" collapsed="false">
      <c r="A174" s="0" t="n">
        <v>173</v>
      </c>
      <c r="B174" s="2" t="s">
        <v>186</v>
      </c>
      <c r="C174" s="2" t="s">
        <v>15</v>
      </c>
      <c r="D174" s="2" t="n">
        <v>22.5</v>
      </c>
      <c r="E174" s="2" t="n">
        <v>27.23</v>
      </c>
      <c r="F174" s="2" t="n">
        <v>67</v>
      </c>
      <c r="G174" s="2" t="n">
        <v>1507.5</v>
      </c>
      <c r="H174" s="2" t="n">
        <v>1824.41</v>
      </c>
      <c r="I174" s="2" t="n">
        <v>4.73</v>
      </c>
    </row>
    <row r="175" customFormat="false" ht="14.35" hidden="false" customHeight="false" outlineLevel="0" collapsed="false">
      <c r="A175" s="0" t="n">
        <v>174</v>
      </c>
      <c r="B175" s="2" t="s">
        <v>187</v>
      </c>
      <c r="C175" s="2" t="s">
        <v>10</v>
      </c>
      <c r="D175" s="2" t="n">
        <v>26.22</v>
      </c>
      <c r="E175" s="2" t="n">
        <v>35.13</v>
      </c>
      <c r="F175" s="2" t="n">
        <v>106</v>
      </c>
      <c r="G175" s="2" t="n">
        <v>2779.32</v>
      </c>
      <c r="H175" s="2" t="n">
        <v>3723.78</v>
      </c>
      <c r="I175" s="2" t="n">
        <v>8.91</v>
      </c>
    </row>
    <row r="176" customFormat="false" ht="14.35" hidden="false" customHeight="false" outlineLevel="0" collapsed="false">
      <c r="A176" s="0" t="n">
        <v>175</v>
      </c>
      <c r="B176" s="2" t="s">
        <v>188</v>
      </c>
      <c r="C176" s="2" t="s">
        <v>23</v>
      </c>
      <c r="D176" s="2" t="n">
        <v>81.72</v>
      </c>
      <c r="E176" s="2" t="n">
        <v>100.52</v>
      </c>
      <c r="F176" s="2" t="n">
        <v>38</v>
      </c>
      <c r="G176" s="2" t="n">
        <v>3105.36</v>
      </c>
      <c r="H176" s="2" t="n">
        <v>3819.76</v>
      </c>
      <c r="I176" s="2" t="n">
        <v>18.8</v>
      </c>
    </row>
    <row r="177" customFormat="false" ht="14.35" hidden="false" customHeight="false" outlineLevel="0" collapsed="false">
      <c r="A177" s="0" t="n">
        <v>176</v>
      </c>
      <c r="B177" s="2" t="s">
        <v>189</v>
      </c>
      <c r="C177" s="2" t="s">
        <v>10</v>
      </c>
      <c r="D177" s="2" t="n">
        <v>40.15</v>
      </c>
      <c r="E177" s="2" t="n">
        <v>55.41</v>
      </c>
      <c r="F177" s="2" t="n">
        <v>10</v>
      </c>
      <c r="G177" s="2" t="n">
        <v>401.5</v>
      </c>
      <c r="H177" s="2" t="n">
        <v>554.1</v>
      </c>
      <c r="I177" s="2" t="n">
        <v>15.26</v>
      </c>
    </row>
    <row r="178" customFormat="false" ht="14.35" hidden="false" customHeight="false" outlineLevel="0" collapsed="false">
      <c r="A178" s="0" t="n">
        <v>177</v>
      </c>
      <c r="B178" s="2" t="s">
        <v>190</v>
      </c>
      <c r="C178" s="2" t="s">
        <v>13</v>
      </c>
      <c r="D178" s="2" t="n">
        <v>54.41</v>
      </c>
      <c r="E178" s="2" t="n">
        <v>66.92</v>
      </c>
      <c r="F178" s="2" t="n">
        <v>86</v>
      </c>
      <c r="G178" s="2" t="n">
        <v>4679.26</v>
      </c>
      <c r="H178" s="2" t="n">
        <v>5755.12</v>
      </c>
      <c r="I178" s="2" t="n">
        <v>12.51</v>
      </c>
    </row>
    <row r="179" customFormat="false" ht="14.35" hidden="false" customHeight="false" outlineLevel="0" collapsed="false">
      <c r="A179" s="0" t="n">
        <v>178</v>
      </c>
      <c r="B179" s="2" t="s">
        <v>191</v>
      </c>
      <c r="C179" s="2" t="s">
        <v>10</v>
      </c>
      <c r="D179" s="2" t="n">
        <v>96.54</v>
      </c>
      <c r="E179" s="2" t="n">
        <v>128.4</v>
      </c>
      <c r="F179" s="2" t="n">
        <v>70</v>
      </c>
      <c r="G179" s="2" t="n">
        <v>6757.8</v>
      </c>
      <c r="H179" s="2" t="n">
        <v>8988</v>
      </c>
      <c r="I179" s="2" t="n">
        <v>31.86</v>
      </c>
    </row>
    <row r="180" customFormat="false" ht="14.35" hidden="false" customHeight="false" outlineLevel="0" collapsed="false">
      <c r="A180" s="0" t="n">
        <v>179</v>
      </c>
      <c r="B180" s="2" t="s">
        <v>192</v>
      </c>
      <c r="C180" s="2" t="s">
        <v>23</v>
      </c>
      <c r="D180" s="2" t="n">
        <v>39.22</v>
      </c>
      <c r="E180" s="2" t="n">
        <v>47.85</v>
      </c>
      <c r="F180" s="2" t="n">
        <v>31</v>
      </c>
      <c r="G180" s="2" t="n">
        <v>1215.82</v>
      </c>
      <c r="H180" s="2" t="n">
        <v>1483.35</v>
      </c>
      <c r="I180" s="2" t="n">
        <v>8.63</v>
      </c>
    </row>
    <row r="181" customFormat="false" ht="14.35" hidden="false" customHeight="false" outlineLevel="0" collapsed="false">
      <c r="A181" s="0" t="n">
        <v>180</v>
      </c>
      <c r="B181" s="2" t="s">
        <v>193</v>
      </c>
      <c r="C181" s="2" t="s">
        <v>13</v>
      </c>
      <c r="D181" s="2" t="n">
        <v>18.18</v>
      </c>
      <c r="E181" s="2" t="n">
        <v>24</v>
      </c>
      <c r="F181" s="2" t="n">
        <v>139</v>
      </c>
      <c r="G181" s="2" t="n">
        <v>2527.02</v>
      </c>
      <c r="H181" s="2" t="n">
        <v>3336</v>
      </c>
      <c r="I181" s="2" t="n">
        <v>5.82</v>
      </c>
    </row>
    <row r="182" customFormat="false" ht="14.35" hidden="false" customHeight="false" outlineLevel="0" collapsed="false">
      <c r="A182" s="0" t="n">
        <v>181</v>
      </c>
      <c r="B182" s="2" t="s">
        <v>194</v>
      </c>
      <c r="C182" s="2" t="s">
        <v>15</v>
      </c>
      <c r="D182" s="2" t="n">
        <v>73.16</v>
      </c>
      <c r="E182" s="2" t="n">
        <v>89.26</v>
      </c>
      <c r="F182" s="2" t="n">
        <v>4</v>
      </c>
      <c r="G182" s="2" t="n">
        <v>292.64</v>
      </c>
      <c r="H182" s="2" t="n">
        <v>357.04</v>
      </c>
      <c r="I182" s="2" t="n">
        <v>16.1</v>
      </c>
    </row>
    <row r="183" customFormat="false" ht="14.35" hidden="false" customHeight="false" outlineLevel="0" collapsed="false">
      <c r="A183" s="0" t="n">
        <v>182</v>
      </c>
      <c r="B183" s="2" t="s">
        <v>195</v>
      </c>
      <c r="C183" s="2" t="s">
        <v>15</v>
      </c>
      <c r="D183" s="2" t="n">
        <v>32.2</v>
      </c>
      <c r="E183" s="2" t="n">
        <v>40.25</v>
      </c>
      <c r="F183" s="2" t="n">
        <v>69</v>
      </c>
      <c r="G183" s="2" t="n">
        <v>2221.8</v>
      </c>
      <c r="H183" s="2" t="n">
        <v>2777.25</v>
      </c>
      <c r="I183" s="2" t="n">
        <v>8.05</v>
      </c>
    </row>
    <row r="184" customFormat="false" ht="14.35" hidden="false" customHeight="false" outlineLevel="0" collapsed="false">
      <c r="A184" s="0" t="n">
        <v>183</v>
      </c>
      <c r="B184" s="2" t="s">
        <v>196</v>
      </c>
      <c r="C184" s="2" t="s">
        <v>23</v>
      </c>
      <c r="D184" s="2" t="n">
        <v>21.8</v>
      </c>
      <c r="E184" s="2" t="n">
        <v>30.08</v>
      </c>
      <c r="F184" s="2" t="n">
        <v>82</v>
      </c>
      <c r="G184" s="2" t="n">
        <v>1787.6</v>
      </c>
      <c r="H184" s="2" t="n">
        <v>2466.56</v>
      </c>
      <c r="I184" s="2" t="n">
        <v>8.28</v>
      </c>
    </row>
    <row r="185" customFormat="false" ht="14.35" hidden="false" customHeight="false" outlineLevel="0" collapsed="false">
      <c r="A185" s="0" t="n">
        <v>184</v>
      </c>
      <c r="B185" s="2" t="s">
        <v>197</v>
      </c>
      <c r="C185" s="2" t="s">
        <v>23</v>
      </c>
      <c r="D185" s="2" t="n">
        <v>75.04</v>
      </c>
      <c r="E185" s="2" t="n">
        <v>93.8</v>
      </c>
      <c r="F185" s="2" t="n">
        <v>147</v>
      </c>
      <c r="G185" s="2" t="n">
        <v>11030.88</v>
      </c>
      <c r="H185" s="2" t="n">
        <v>13788.6</v>
      </c>
      <c r="I185" s="2" t="n">
        <v>18.76</v>
      </c>
    </row>
    <row r="186" customFormat="false" ht="14.35" hidden="false" customHeight="false" outlineLevel="0" collapsed="false">
      <c r="A186" s="0" t="n">
        <v>185</v>
      </c>
      <c r="B186" s="2" t="s">
        <v>198</v>
      </c>
      <c r="C186" s="2" t="s">
        <v>13</v>
      </c>
      <c r="D186" s="2" t="n">
        <v>78.1</v>
      </c>
      <c r="E186" s="2" t="n">
        <v>105.44</v>
      </c>
      <c r="F186" s="2" t="n">
        <v>68</v>
      </c>
      <c r="G186" s="2" t="n">
        <v>5310.8</v>
      </c>
      <c r="H186" s="2" t="n">
        <v>7169.92</v>
      </c>
      <c r="I186" s="2" t="n">
        <v>27.34</v>
      </c>
    </row>
    <row r="187" customFormat="false" ht="14.35" hidden="false" customHeight="false" outlineLevel="0" collapsed="false">
      <c r="A187" s="0" t="n">
        <v>186</v>
      </c>
      <c r="B187" s="2" t="s">
        <v>199</v>
      </c>
      <c r="C187" s="2" t="s">
        <v>10</v>
      </c>
      <c r="D187" s="2" t="n">
        <v>45.7</v>
      </c>
      <c r="E187" s="2" t="n">
        <v>58.5</v>
      </c>
      <c r="F187" s="2" t="n">
        <v>77</v>
      </c>
      <c r="G187" s="2" t="n">
        <v>3518.9</v>
      </c>
      <c r="H187" s="2" t="n">
        <v>4504.5</v>
      </c>
      <c r="I187" s="2" t="n">
        <v>12.8</v>
      </c>
    </row>
    <row r="188" customFormat="false" ht="14.35" hidden="false" customHeight="false" outlineLevel="0" collapsed="false">
      <c r="A188" s="0" t="n">
        <v>187</v>
      </c>
      <c r="B188" s="2" t="s">
        <v>200</v>
      </c>
      <c r="C188" s="2" t="s">
        <v>23</v>
      </c>
      <c r="D188" s="2" t="n">
        <v>62.89</v>
      </c>
      <c r="E188" s="2" t="n">
        <v>77.35</v>
      </c>
      <c r="F188" s="2" t="n">
        <v>73</v>
      </c>
      <c r="G188" s="2" t="n">
        <v>4590.97</v>
      </c>
      <c r="H188" s="2" t="n">
        <v>5646.55</v>
      </c>
      <c r="I188" s="2" t="n">
        <v>14.46</v>
      </c>
    </row>
    <row r="189" customFormat="false" ht="14.35" hidden="false" customHeight="false" outlineLevel="0" collapsed="false">
      <c r="A189" s="0" t="n">
        <v>188</v>
      </c>
      <c r="B189" s="2" t="s">
        <v>201</v>
      </c>
      <c r="C189" s="2" t="s">
        <v>23</v>
      </c>
      <c r="D189" s="2" t="n">
        <v>42.91</v>
      </c>
      <c r="E189" s="2" t="n">
        <v>51.92</v>
      </c>
      <c r="F189" s="2" t="n">
        <v>34</v>
      </c>
      <c r="G189" s="2" t="n">
        <v>1458.94</v>
      </c>
      <c r="H189" s="2" t="n">
        <v>1765.28</v>
      </c>
      <c r="I189" s="2" t="n">
        <v>9.01000000000001</v>
      </c>
    </row>
    <row r="190" customFormat="false" ht="14.35" hidden="false" customHeight="false" outlineLevel="0" collapsed="false">
      <c r="A190" s="0" t="n">
        <v>189</v>
      </c>
      <c r="B190" s="2" t="s">
        <v>202</v>
      </c>
      <c r="C190" s="2" t="s">
        <v>30</v>
      </c>
      <c r="D190" s="2" t="n">
        <v>76.95</v>
      </c>
      <c r="E190" s="2" t="n">
        <v>89.26</v>
      </c>
      <c r="F190" s="2" t="n">
        <v>87</v>
      </c>
      <c r="G190" s="2" t="n">
        <v>6694.65</v>
      </c>
      <c r="H190" s="2" t="n">
        <v>7765.62</v>
      </c>
      <c r="I190" s="2" t="n">
        <v>12.31</v>
      </c>
    </row>
    <row r="191" customFormat="false" ht="14.35" hidden="false" customHeight="false" outlineLevel="0" collapsed="false">
      <c r="A191" s="0" t="n">
        <v>190</v>
      </c>
      <c r="B191" s="2" t="s">
        <v>203</v>
      </c>
      <c r="C191" s="2" t="s">
        <v>23</v>
      </c>
      <c r="D191" s="2" t="n">
        <v>88.92</v>
      </c>
      <c r="E191" s="2" t="n">
        <v>109.37</v>
      </c>
      <c r="F191" s="2" t="n">
        <v>33</v>
      </c>
      <c r="G191" s="2" t="n">
        <v>2934.36</v>
      </c>
      <c r="H191" s="2" t="n">
        <v>3609.21</v>
      </c>
      <c r="I191" s="2" t="n">
        <v>20.45</v>
      </c>
    </row>
    <row r="192" customFormat="false" ht="14.35" hidden="false" customHeight="false" outlineLevel="0" collapsed="false">
      <c r="A192" s="0" t="n">
        <v>191</v>
      </c>
      <c r="B192" s="2" t="s">
        <v>204</v>
      </c>
      <c r="C192" s="2" t="s">
        <v>10</v>
      </c>
      <c r="D192" s="2" t="n">
        <v>60.49</v>
      </c>
      <c r="E192" s="2" t="n">
        <v>79.85</v>
      </c>
      <c r="F192" s="2" t="n">
        <v>146</v>
      </c>
      <c r="G192" s="2" t="n">
        <v>8831.54</v>
      </c>
      <c r="H192" s="2" t="n">
        <v>11658.1</v>
      </c>
      <c r="I192" s="2" t="n">
        <v>19.36</v>
      </c>
    </row>
    <row r="193" customFormat="false" ht="14.35" hidden="false" customHeight="false" outlineLevel="0" collapsed="false">
      <c r="A193" s="0" t="n">
        <v>192</v>
      </c>
      <c r="B193" s="2" t="s">
        <v>205</v>
      </c>
      <c r="C193" s="2" t="s">
        <v>10</v>
      </c>
      <c r="D193" s="2" t="n">
        <v>68.91</v>
      </c>
      <c r="E193" s="2" t="n">
        <v>79.25</v>
      </c>
      <c r="F193" s="2" t="n">
        <v>34</v>
      </c>
      <c r="G193" s="2" t="n">
        <v>2342.94</v>
      </c>
      <c r="H193" s="2" t="n">
        <v>2694.5</v>
      </c>
      <c r="I193" s="2" t="n">
        <v>10.34</v>
      </c>
    </row>
    <row r="194" customFormat="false" ht="14.35" hidden="false" customHeight="false" outlineLevel="0" collapsed="false">
      <c r="A194" s="0" t="n">
        <v>193</v>
      </c>
      <c r="B194" s="2" t="s">
        <v>206</v>
      </c>
      <c r="C194" s="2" t="s">
        <v>13</v>
      </c>
      <c r="D194" s="2" t="n">
        <v>77.51</v>
      </c>
      <c r="E194" s="2" t="n">
        <v>103.09</v>
      </c>
      <c r="F194" s="2" t="n">
        <v>4</v>
      </c>
      <c r="G194" s="2" t="n">
        <v>310.04</v>
      </c>
      <c r="H194" s="2" t="n">
        <v>412.36</v>
      </c>
      <c r="I194" s="2" t="n">
        <v>25.58</v>
      </c>
    </row>
    <row r="195" customFormat="false" ht="14.35" hidden="false" customHeight="false" outlineLevel="0" collapsed="false">
      <c r="A195" s="0" t="n">
        <v>194</v>
      </c>
      <c r="B195" s="2" t="s">
        <v>207</v>
      </c>
      <c r="C195" s="2" t="s">
        <v>30</v>
      </c>
      <c r="D195" s="2" t="n">
        <v>19.32</v>
      </c>
      <c r="E195" s="2" t="n">
        <v>24.15</v>
      </c>
      <c r="F195" s="2" t="n">
        <v>111</v>
      </c>
      <c r="G195" s="2" t="n">
        <v>2144.52</v>
      </c>
      <c r="H195" s="2" t="n">
        <v>2680.65</v>
      </c>
      <c r="I195" s="2" t="n">
        <v>4.83</v>
      </c>
    </row>
    <row r="196" customFormat="false" ht="14.35" hidden="false" customHeight="false" outlineLevel="0" collapsed="false">
      <c r="A196" s="0" t="n">
        <v>195</v>
      </c>
      <c r="B196" s="2" t="s">
        <v>208</v>
      </c>
      <c r="C196" s="2" t="s">
        <v>23</v>
      </c>
      <c r="D196" s="2" t="n">
        <v>92.5</v>
      </c>
      <c r="E196" s="2" t="n">
        <v>107.3</v>
      </c>
      <c r="F196" s="2" t="n">
        <v>59</v>
      </c>
      <c r="G196" s="2" t="n">
        <v>5457.5</v>
      </c>
      <c r="H196" s="2" t="n">
        <v>6330.7</v>
      </c>
      <c r="I196" s="2" t="n">
        <v>14.8</v>
      </c>
    </row>
    <row r="197" customFormat="false" ht="14.35" hidden="false" customHeight="false" outlineLevel="0" collapsed="false">
      <c r="A197" s="0" t="n">
        <v>196</v>
      </c>
      <c r="B197" s="2" t="s">
        <v>209</v>
      </c>
      <c r="C197" s="2" t="s">
        <v>23</v>
      </c>
      <c r="D197" s="2" t="n">
        <v>22.45</v>
      </c>
      <c r="E197" s="2" t="n">
        <v>27.84</v>
      </c>
      <c r="F197" s="2" t="n">
        <v>88</v>
      </c>
      <c r="G197" s="2" t="n">
        <v>1975.6</v>
      </c>
      <c r="H197" s="2" t="n">
        <v>2449.92</v>
      </c>
      <c r="I197" s="2" t="n">
        <v>5.39</v>
      </c>
    </row>
    <row r="198" customFormat="false" ht="14.35" hidden="false" customHeight="false" outlineLevel="0" collapsed="false">
      <c r="A198" s="0" t="n">
        <v>197</v>
      </c>
      <c r="B198" s="2" t="s">
        <v>210</v>
      </c>
      <c r="C198" s="2" t="s">
        <v>30</v>
      </c>
      <c r="D198" s="2" t="n">
        <v>24.45</v>
      </c>
      <c r="E198" s="2" t="n">
        <v>32.76</v>
      </c>
      <c r="F198" s="2" t="n">
        <v>144</v>
      </c>
      <c r="G198" s="2" t="n">
        <v>3520.8</v>
      </c>
      <c r="H198" s="2" t="n">
        <v>4717.44</v>
      </c>
      <c r="I198" s="2" t="n">
        <v>8.31</v>
      </c>
    </row>
    <row r="199" customFormat="false" ht="14.35" hidden="false" customHeight="false" outlineLevel="0" collapsed="false">
      <c r="A199" s="0" t="n">
        <v>198</v>
      </c>
      <c r="B199" s="2" t="s">
        <v>211</v>
      </c>
      <c r="C199" s="2" t="s">
        <v>15</v>
      </c>
      <c r="D199" s="2" t="n">
        <v>53.46</v>
      </c>
      <c r="E199" s="2" t="n">
        <v>71.64</v>
      </c>
      <c r="F199" s="2" t="n">
        <v>120</v>
      </c>
      <c r="G199" s="2" t="n">
        <v>6415.2</v>
      </c>
      <c r="H199" s="2" t="n">
        <v>8596.8</v>
      </c>
      <c r="I199" s="2" t="n">
        <v>18.18</v>
      </c>
    </row>
    <row r="200" customFormat="false" ht="14.35" hidden="false" customHeight="false" outlineLevel="0" collapsed="false">
      <c r="A200" s="0" t="n">
        <v>199</v>
      </c>
      <c r="B200" s="2" t="s">
        <v>212</v>
      </c>
      <c r="C200" s="2" t="s">
        <v>23</v>
      </c>
      <c r="D200" s="2" t="n">
        <v>66.1</v>
      </c>
      <c r="E200" s="2" t="n">
        <v>72.71</v>
      </c>
      <c r="F200" s="2" t="n">
        <v>100</v>
      </c>
      <c r="G200" s="2" t="n">
        <v>6610</v>
      </c>
      <c r="H200" s="2" t="n">
        <v>7271</v>
      </c>
      <c r="I200" s="2" t="n">
        <v>6.61</v>
      </c>
    </row>
    <row r="201" customFormat="false" ht="14.35" hidden="false" customHeight="false" outlineLevel="0" collapsed="false">
      <c r="A201" s="0" t="n">
        <v>200</v>
      </c>
      <c r="B201" s="2" t="s">
        <v>213</v>
      </c>
      <c r="C201" s="2" t="s">
        <v>23</v>
      </c>
      <c r="D201" s="2" t="n">
        <v>70.92</v>
      </c>
      <c r="E201" s="2" t="n">
        <v>92.2</v>
      </c>
      <c r="F201" s="2" t="n">
        <v>41</v>
      </c>
      <c r="G201" s="2" t="n">
        <v>2907.72</v>
      </c>
      <c r="H201" s="2" t="n">
        <v>3780.2</v>
      </c>
      <c r="I201" s="2" t="n">
        <v>21.28</v>
      </c>
    </row>
  </sheetData>
  <autoFilter ref="A1:I201"/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32"/>
  <sheetViews>
    <sheetView showFormulas="false" showGridLines="true" showRowColHeaders="true" showZeros="true" rightToLeft="false" tabSelected="true" showOutlineSymbols="true" defaultGridColor="true" view="normal" topLeftCell="A1" colorId="64" zoomScale="130" zoomScaleNormal="130" zoomScalePageLayoutView="100" workbookViewId="0">
      <selection pane="topLeft" activeCell="K6" activeCellId="0" sqref="K6"/>
    </sheetView>
  </sheetViews>
  <sheetFormatPr defaultColWidth="11.23046875" defaultRowHeight="14.35" customHeight="false" zeroHeight="false" outlineLevelRow="0" outlineLevelCol="0"/>
  <sheetData>
    <row r="1" customFormat="false" ht="40.75" hidden="false" customHeight="false" outlineLevel="0" collapsed="false">
      <c r="A1" s="2" t="s">
        <v>214</v>
      </c>
      <c r="B1" s="2" t="s">
        <v>215</v>
      </c>
      <c r="C1" s="2" t="s">
        <v>216</v>
      </c>
      <c r="D1" s="2" t="s">
        <v>217</v>
      </c>
      <c r="E1" s="2" t="s">
        <v>218</v>
      </c>
      <c r="F1" s="2"/>
      <c r="H1" s="3" t="s">
        <v>2</v>
      </c>
      <c r="I1" s="3" t="s">
        <v>15</v>
      </c>
      <c r="J1" s="3" t="s">
        <v>30</v>
      </c>
      <c r="K1" s="3" t="s">
        <v>13</v>
      </c>
    </row>
    <row r="2" customFormat="false" ht="53.95" hidden="false" customHeight="false" outlineLevel="0" collapsed="false">
      <c r="A2" s="2" t="s">
        <v>219</v>
      </c>
      <c r="B2" s="2" t="n">
        <f aca="false">AVERAGE(data!$D$2:$D$201)</f>
        <v>54.0485</v>
      </c>
      <c r="C2" s="2" t="n">
        <f aca="false">_xlfn.MODE.SNGL(data!$D$2:$D$201)</f>
        <v>97.32</v>
      </c>
      <c r="D2" s="2" t="n">
        <f aca="false">MEDIAN(data!$D$2:$D$201)</f>
        <v>52.775</v>
      </c>
      <c r="E2" s="2" t="n">
        <f aca="false">_xlfn.VAR.P(data!$D$2:$D$201)</f>
        <v>756.18637275</v>
      </c>
      <c r="F2" s="3"/>
      <c r="H2" s="2" t="s">
        <v>220</v>
      </c>
      <c r="I2" s="3" t="n">
        <f aca="false">_xlfn.STDEV.P($H$13:$H$48)</f>
        <v>3752.0045258793</v>
      </c>
      <c r="J2" s="3" t="n">
        <f aca="false">_xlfn.STDEV.P($H$52:$H$90)</f>
        <v>3966.12181666347</v>
      </c>
      <c r="K2" s="3" t="n">
        <f aca="false">_xlfn.STDEV.P($H$94:$H$132)</f>
        <v>3541.26911766457</v>
      </c>
    </row>
    <row r="3" customFormat="false" ht="27.55" hidden="false" customHeight="false" outlineLevel="0" collapsed="false">
      <c r="A3" s="2" t="s">
        <v>221</v>
      </c>
      <c r="B3" s="2" t="n">
        <f aca="false">AVERAGE(data!$F$2:$F$201)</f>
        <v>78.825</v>
      </c>
      <c r="C3" s="2" t="n">
        <f aca="false">_xlfn.MODE.SNGL(data!$F$2:$F$201)</f>
        <v>68</v>
      </c>
      <c r="D3" s="2" t="n">
        <f aca="false">MEDIAN(data!$F$2:$F$201)</f>
        <v>82</v>
      </c>
      <c r="E3" s="2" t="n">
        <f aca="false">_xlfn.VAR.P(data!$F$2:$F$201)</f>
        <v>1746.254375</v>
      </c>
      <c r="F3" s="3"/>
      <c r="I3" s="3"/>
      <c r="J3" s="3"/>
    </row>
    <row r="4" customFormat="false" ht="14.35" hidden="false" customHeight="false" outlineLevel="0" collapsed="false">
      <c r="A4" s="2"/>
      <c r="B4" s="2"/>
      <c r="C4" s="2"/>
      <c r="E4" s="3"/>
      <c r="F4" s="3"/>
      <c r="I4" s="3"/>
      <c r="J4" s="3"/>
      <c r="K4" s="2"/>
      <c r="L4" s="3"/>
      <c r="M4" s="2"/>
    </row>
    <row r="5" customFormat="false" ht="14.35" hidden="false" customHeight="false" outlineLevel="0" collapsed="false">
      <c r="A5" s="2"/>
      <c r="B5" s="2"/>
      <c r="C5" s="2"/>
      <c r="E5" s="3"/>
      <c r="K5" s="2"/>
      <c r="L5" s="2"/>
      <c r="M5" s="2"/>
    </row>
    <row r="6" customFormat="false" ht="14.35" hidden="false" customHeight="false" outlineLevel="0" collapsed="false">
      <c r="A6" s="2"/>
      <c r="B6" s="2"/>
      <c r="C6" s="2"/>
      <c r="K6" s="2"/>
      <c r="L6" s="2"/>
      <c r="M6" s="2"/>
    </row>
    <row r="7" customFormat="false" ht="14.35" hidden="false" customHeight="false" outlineLevel="0" collapsed="false">
      <c r="A7" s="2"/>
      <c r="B7" s="2"/>
      <c r="C7" s="2"/>
      <c r="K7" s="2"/>
      <c r="L7" s="2"/>
      <c r="M7" s="2"/>
    </row>
    <row r="8" customFormat="false" ht="14.35" hidden="false" customHeight="false" outlineLevel="0" collapsed="false">
      <c r="A8" s="2"/>
      <c r="B8" s="2"/>
      <c r="C8" s="2"/>
      <c r="K8" s="2"/>
      <c r="L8" s="2"/>
      <c r="M8" s="2"/>
    </row>
    <row r="9" customFormat="false" ht="14.35" hidden="false" customHeight="false" outlineLevel="0" collapsed="false">
      <c r="A9" s="2"/>
      <c r="B9" s="2"/>
      <c r="C9" s="2"/>
      <c r="K9" s="2"/>
      <c r="L9" s="2"/>
      <c r="M9" s="2"/>
    </row>
    <row r="10" customFormat="false" ht="14.35" hidden="false" customHeight="false" outlineLevel="0" collapsed="false">
      <c r="K10" s="2"/>
      <c r="L10" s="2"/>
      <c r="M10" s="2"/>
    </row>
    <row r="11" customFormat="false" ht="14.35" hidden="false" customHeight="false" outlineLevel="0" collapsed="false">
      <c r="K11" s="2"/>
      <c r="L11" s="2"/>
      <c r="M11" s="2"/>
    </row>
    <row r="12" customFormat="false" ht="41.75" hidden="false" customHeight="false" outlineLevel="0" collapsed="false">
      <c r="A12" s="0" t="s">
        <v>0</v>
      </c>
      <c r="B12" s="2" t="s">
        <v>1</v>
      </c>
      <c r="C12" s="2" t="s">
        <v>2</v>
      </c>
      <c r="D12" s="2" t="s">
        <v>3</v>
      </c>
      <c r="E12" s="2" t="s">
        <v>4</v>
      </c>
      <c r="F12" s="2" t="s">
        <v>5</v>
      </c>
      <c r="G12" s="2" t="s">
        <v>6</v>
      </c>
      <c r="H12" s="2" t="s">
        <v>7</v>
      </c>
      <c r="I12" s="2" t="s">
        <v>8</v>
      </c>
      <c r="K12" s="2"/>
      <c r="L12" s="2"/>
      <c r="M12" s="2"/>
    </row>
    <row r="13" customFormat="false" ht="14.35" hidden="false" customHeight="false" outlineLevel="0" collapsed="false">
      <c r="A13" s="0" t="n">
        <v>4</v>
      </c>
      <c r="B13" s="2" t="s">
        <v>14</v>
      </c>
      <c r="C13" s="2" t="s">
        <v>15</v>
      </c>
      <c r="D13" s="2" t="n">
        <v>12.14</v>
      </c>
      <c r="E13" s="2" t="n">
        <v>16.75</v>
      </c>
      <c r="F13" s="2" t="n">
        <v>89</v>
      </c>
      <c r="G13" s="2" t="n">
        <v>1080.46</v>
      </c>
      <c r="H13" s="2" t="n">
        <v>1490.75</v>
      </c>
      <c r="I13" s="2" t="n">
        <v>4.61</v>
      </c>
    </row>
    <row r="14" customFormat="false" ht="14.35" hidden="false" customHeight="false" outlineLevel="0" collapsed="false">
      <c r="A14" s="0" t="n">
        <v>7</v>
      </c>
      <c r="B14" s="2" t="s">
        <v>18</v>
      </c>
      <c r="C14" s="2" t="s">
        <v>15</v>
      </c>
      <c r="D14" s="2" t="n">
        <v>69.17</v>
      </c>
      <c r="E14" s="2" t="n">
        <v>80.93</v>
      </c>
      <c r="F14" s="2" t="n">
        <v>116</v>
      </c>
      <c r="G14" s="2" t="n">
        <v>8023.72</v>
      </c>
      <c r="H14" s="2" t="n">
        <v>9387.88</v>
      </c>
      <c r="I14" s="2" t="n">
        <v>11.76</v>
      </c>
    </row>
    <row r="15" customFormat="false" ht="14.35" hidden="false" customHeight="false" outlineLevel="0" collapsed="false">
      <c r="A15" s="0" t="n">
        <v>9</v>
      </c>
      <c r="B15" s="2" t="s">
        <v>20</v>
      </c>
      <c r="C15" s="2" t="s">
        <v>15</v>
      </c>
      <c r="D15" s="2" t="n">
        <v>67.45</v>
      </c>
      <c r="E15" s="2" t="n">
        <v>74.87</v>
      </c>
      <c r="F15" s="2" t="n">
        <v>68</v>
      </c>
      <c r="G15" s="2" t="n">
        <v>4586.6</v>
      </c>
      <c r="H15" s="2" t="n">
        <v>5091.16</v>
      </c>
      <c r="I15" s="2" t="n">
        <v>7.42</v>
      </c>
    </row>
    <row r="16" customFormat="false" ht="14.35" hidden="false" customHeight="false" outlineLevel="0" collapsed="false">
      <c r="A16" s="0" t="n">
        <v>10</v>
      </c>
      <c r="B16" s="2" t="s">
        <v>21</v>
      </c>
      <c r="C16" s="2" t="s">
        <v>15</v>
      </c>
      <c r="D16" s="2" t="n">
        <v>45.68</v>
      </c>
      <c r="E16" s="2" t="n">
        <v>61.21</v>
      </c>
      <c r="F16" s="2" t="n">
        <v>122</v>
      </c>
      <c r="G16" s="2" t="n">
        <v>5572.96</v>
      </c>
      <c r="H16" s="2" t="n">
        <v>7467.62</v>
      </c>
      <c r="I16" s="2" t="n">
        <v>15.53</v>
      </c>
    </row>
    <row r="17" customFormat="false" ht="14.35" hidden="false" customHeight="false" outlineLevel="0" collapsed="false">
      <c r="A17" s="0" t="n">
        <v>26</v>
      </c>
      <c r="B17" s="2" t="s">
        <v>39</v>
      </c>
      <c r="C17" s="2" t="s">
        <v>15</v>
      </c>
      <c r="D17" s="2" t="n">
        <v>89.33</v>
      </c>
      <c r="E17" s="2" t="n">
        <v>124.17</v>
      </c>
      <c r="F17" s="2" t="n">
        <v>45</v>
      </c>
      <c r="G17" s="2" t="n">
        <v>4019.85</v>
      </c>
      <c r="H17" s="2" t="n">
        <v>5587.65</v>
      </c>
      <c r="I17" s="2" t="n">
        <v>34.84</v>
      </c>
    </row>
    <row r="18" customFormat="false" ht="14.35" hidden="false" customHeight="false" outlineLevel="0" collapsed="false">
      <c r="A18" s="0" t="n">
        <v>28</v>
      </c>
      <c r="B18" s="2" t="s">
        <v>41</v>
      </c>
      <c r="C18" s="2" t="s">
        <v>15</v>
      </c>
      <c r="D18" s="2" t="n">
        <v>82.36</v>
      </c>
      <c r="E18" s="2" t="n">
        <v>107.89</v>
      </c>
      <c r="F18" s="2" t="n">
        <v>101</v>
      </c>
      <c r="G18" s="2" t="n">
        <v>8318.36</v>
      </c>
      <c r="H18" s="2" t="n">
        <v>10896.89</v>
      </c>
      <c r="I18" s="2" t="n">
        <v>25.53</v>
      </c>
    </row>
    <row r="19" customFormat="false" ht="14.35" hidden="false" customHeight="false" outlineLevel="0" collapsed="false">
      <c r="A19" s="0" t="n">
        <v>32</v>
      </c>
      <c r="B19" s="2" t="s">
        <v>45</v>
      </c>
      <c r="C19" s="2" t="s">
        <v>15</v>
      </c>
      <c r="D19" s="2" t="n">
        <v>60.1</v>
      </c>
      <c r="E19" s="2" t="n">
        <v>68.51</v>
      </c>
      <c r="F19" s="2" t="n">
        <v>62</v>
      </c>
      <c r="G19" s="2" t="n">
        <v>3726.2</v>
      </c>
      <c r="H19" s="2" t="n">
        <v>4247.62</v>
      </c>
      <c r="I19" s="2" t="n">
        <v>8.41</v>
      </c>
    </row>
    <row r="20" customFormat="false" ht="14.35" hidden="false" customHeight="false" outlineLevel="0" collapsed="false">
      <c r="A20" s="0" t="n">
        <v>34</v>
      </c>
      <c r="B20" s="2" t="s">
        <v>47</v>
      </c>
      <c r="C20" s="2" t="s">
        <v>15</v>
      </c>
      <c r="D20" s="2" t="n">
        <v>14.17</v>
      </c>
      <c r="E20" s="2" t="n">
        <v>16.72</v>
      </c>
      <c r="F20" s="2" t="n">
        <v>80</v>
      </c>
      <c r="G20" s="2" t="n">
        <v>1133.6</v>
      </c>
      <c r="H20" s="2" t="n">
        <v>1337.6</v>
      </c>
      <c r="I20" s="2" t="n">
        <v>2.55</v>
      </c>
    </row>
    <row r="21" customFormat="false" ht="14.35" hidden="false" customHeight="false" outlineLevel="0" collapsed="false">
      <c r="A21" s="0" t="n">
        <v>40</v>
      </c>
      <c r="B21" s="2" t="s">
        <v>53</v>
      </c>
      <c r="C21" s="2" t="s">
        <v>15</v>
      </c>
      <c r="D21" s="2" t="n">
        <v>23.07</v>
      </c>
      <c r="E21" s="2" t="n">
        <v>29.53</v>
      </c>
      <c r="F21" s="2" t="n">
        <v>25</v>
      </c>
      <c r="G21" s="2" t="n">
        <v>576.75</v>
      </c>
      <c r="H21" s="2" t="n">
        <v>738.25</v>
      </c>
      <c r="I21" s="2" t="n">
        <v>6.46</v>
      </c>
    </row>
    <row r="22" customFormat="false" ht="14.35" hidden="false" customHeight="false" outlineLevel="0" collapsed="false">
      <c r="A22" s="0" t="n">
        <v>45</v>
      </c>
      <c r="B22" s="2" t="s">
        <v>58</v>
      </c>
      <c r="C22" s="2" t="s">
        <v>15</v>
      </c>
      <c r="D22" s="2" t="n">
        <v>36.38</v>
      </c>
      <c r="E22" s="2" t="n">
        <v>40.75</v>
      </c>
      <c r="F22" s="2" t="n">
        <v>72</v>
      </c>
      <c r="G22" s="2" t="n">
        <v>2619.36</v>
      </c>
      <c r="H22" s="2" t="n">
        <v>2934</v>
      </c>
      <c r="I22" s="2" t="n">
        <v>4.37</v>
      </c>
    </row>
    <row r="23" customFormat="false" ht="14.35" hidden="false" customHeight="false" outlineLevel="0" collapsed="false">
      <c r="A23" s="0" t="n">
        <v>49</v>
      </c>
      <c r="B23" s="2" t="s">
        <v>62</v>
      </c>
      <c r="C23" s="2" t="s">
        <v>15</v>
      </c>
      <c r="D23" s="2" t="n">
        <v>78.82</v>
      </c>
      <c r="E23" s="2" t="n">
        <v>86.7</v>
      </c>
      <c r="F23" s="2" t="n">
        <v>76</v>
      </c>
      <c r="G23" s="2" t="n">
        <v>5990.32</v>
      </c>
      <c r="H23" s="2" t="n">
        <v>6589.2</v>
      </c>
      <c r="I23" s="2" t="n">
        <v>7.88000000000001</v>
      </c>
    </row>
    <row r="24" customFormat="false" ht="14.35" hidden="false" customHeight="false" outlineLevel="0" collapsed="false">
      <c r="A24" s="0" t="n">
        <v>53</v>
      </c>
      <c r="B24" s="2" t="s">
        <v>66</v>
      </c>
      <c r="C24" s="2" t="s">
        <v>15</v>
      </c>
      <c r="D24" s="2" t="n">
        <v>32.85</v>
      </c>
      <c r="E24" s="2" t="n">
        <v>36.46</v>
      </c>
      <c r="F24" s="2" t="n">
        <v>102</v>
      </c>
      <c r="G24" s="2" t="n">
        <v>3350.7</v>
      </c>
      <c r="H24" s="2" t="n">
        <v>3718.92</v>
      </c>
      <c r="I24" s="2" t="n">
        <v>3.61</v>
      </c>
    </row>
    <row r="25" customFormat="false" ht="14.35" hidden="false" customHeight="false" outlineLevel="0" collapsed="false">
      <c r="A25" s="0" t="n">
        <v>69</v>
      </c>
      <c r="B25" s="2" t="s">
        <v>82</v>
      </c>
      <c r="C25" s="2" t="s">
        <v>15</v>
      </c>
      <c r="D25" s="2" t="n">
        <v>22.18</v>
      </c>
      <c r="E25" s="2" t="n">
        <v>31.05</v>
      </c>
      <c r="F25" s="2" t="n">
        <v>127</v>
      </c>
      <c r="G25" s="2" t="n">
        <v>2816.86</v>
      </c>
      <c r="H25" s="2" t="n">
        <v>3943.35</v>
      </c>
      <c r="I25" s="2" t="n">
        <v>8.87</v>
      </c>
    </row>
    <row r="26" customFormat="false" ht="14.35" hidden="false" customHeight="false" outlineLevel="0" collapsed="false">
      <c r="A26" s="0" t="n">
        <v>72</v>
      </c>
      <c r="B26" s="2" t="s">
        <v>85</v>
      </c>
      <c r="C26" s="2" t="s">
        <v>15</v>
      </c>
      <c r="D26" s="2" t="n">
        <v>58.67</v>
      </c>
      <c r="E26" s="2" t="n">
        <v>77.44</v>
      </c>
      <c r="F26" s="2" t="n">
        <v>77</v>
      </c>
      <c r="G26" s="2" t="n">
        <v>4517.59</v>
      </c>
      <c r="H26" s="2" t="n">
        <v>5962.88</v>
      </c>
      <c r="I26" s="2" t="n">
        <v>18.77</v>
      </c>
    </row>
    <row r="27" customFormat="false" ht="14.35" hidden="false" customHeight="false" outlineLevel="0" collapsed="false">
      <c r="A27" s="0" t="n">
        <v>73</v>
      </c>
      <c r="B27" s="2" t="s">
        <v>86</v>
      </c>
      <c r="C27" s="2" t="s">
        <v>15</v>
      </c>
      <c r="D27" s="2" t="n">
        <v>71.65</v>
      </c>
      <c r="E27" s="2" t="n">
        <v>79.53</v>
      </c>
      <c r="F27" s="2" t="n">
        <v>91</v>
      </c>
      <c r="G27" s="2" t="n">
        <v>6520.15</v>
      </c>
      <c r="H27" s="2" t="n">
        <v>7237.23</v>
      </c>
      <c r="I27" s="2" t="n">
        <v>7.88</v>
      </c>
    </row>
    <row r="28" customFormat="false" ht="14.35" hidden="false" customHeight="false" outlineLevel="0" collapsed="false">
      <c r="A28" s="0" t="n">
        <v>78</v>
      </c>
      <c r="B28" s="2" t="s">
        <v>91</v>
      </c>
      <c r="C28" s="2" t="s">
        <v>15</v>
      </c>
      <c r="D28" s="2" t="n">
        <v>96.62</v>
      </c>
      <c r="E28" s="2" t="n">
        <v>116.91</v>
      </c>
      <c r="F28" s="2" t="n">
        <v>102</v>
      </c>
      <c r="G28" s="2" t="n">
        <v>9855.24</v>
      </c>
      <c r="H28" s="2" t="n">
        <v>11924.82</v>
      </c>
      <c r="I28" s="2" t="n">
        <v>20.29</v>
      </c>
    </row>
    <row r="29" customFormat="false" ht="14.35" hidden="false" customHeight="false" outlineLevel="0" collapsed="false">
      <c r="A29" s="0" t="n">
        <v>88</v>
      </c>
      <c r="B29" s="2" t="s">
        <v>101</v>
      </c>
      <c r="C29" s="2" t="s">
        <v>15</v>
      </c>
      <c r="D29" s="2" t="n">
        <v>56.67</v>
      </c>
      <c r="E29" s="2" t="n">
        <v>76.5</v>
      </c>
      <c r="F29" s="2" t="n">
        <v>86</v>
      </c>
      <c r="G29" s="2" t="n">
        <v>4873.62</v>
      </c>
      <c r="H29" s="2" t="n">
        <v>6579</v>
      </c>
      <c r="I29" s="2" t="n">
        <v>19.83</v>
      </c>
    </row>
    <row r="30" customFormat="false" ht="14.35" hidden="false" customHeight="false" outlineLevel="0" collapsed="false">
      <c r="A30" s="0" t="n">
        <v>93</v>
      </c>
      <c r="B30" s="2" t="s">
        <v>106</v>
      </c>
      <c r="C30" s="2" t="s">
        <v>15</v>
      </c>
      <c r="D30" s="2" t="n">
        <v>50.59</v>
      </c>
      <c r="E30" s="2" t="n">
        <v>55.65</v>
      </c>
      <c r="F30" s="2" t="n">
        <v>19</v>
      </c>
      <c r="G30" s="2" t="n">
        <v>961.21</v>
      </c>
      <c r="H30" s="2" t="n">
        <v>1057.35</v>
      </c>
      <c r="I30" s="2" t="n">
        <v>5.06</v>
      </c>
    </row>
    <row r="31" customFormat="false" ht="14.35" hidden="false" customHeight="false" outlineLevel="0" collapsed="false">
      <c r="A31" s="0" t="n">
        <v>95</v>
      </c>
      <c r="B31" s="2" t="s">
        <v>108</v>
      </c>
      <c r="C31" s="2" t="s">
        <v>15</v>
      </c>
      <c r="D31" s="2" t="n">
        <v>91.76</v>
      </c>
      <c r="E31" s="2" t="n">
        <v>116.54</v>
      </c>
      <c r="F31" s="2" t="n">
        <v>47</v>
      </c>
      <c r="G31" s="2" t="n">
        <v>4312.72</v>
      </c>
      <c r="H31" s="2" t="n">
        <v>5477.38</v>
      </c>
      <c r="I31" s="2" t="n">
        <v>24.78</v>
      </c>
    </row>
    <row r="32" customFormat="false" ht="14.35" hidden="false" customHeight="false" outlineLevel="0" collapsed="false">
      <c r="A32" s="0" t="n">
        <v>97</v>
      </c>
      <c r="B32" s="2" t="s">
        <v>110</v>
      </c>
      <c r="C32" s="2" t="s">
        <v>15</v>
      </c>
      <c r="D32" s="2" t="n">
        <v>37.67</v>
      </c>
      <c r="E32" s="2" t="n">
        <v>42.57</v>
      </c>
      <c r="F32" s="2" t="n">
        <v>82</v>
      </c>
      <c r="G32" s="2" t="n">
        <v>3088.94</v>
      </c>
      <c r="H32" s="2" t="n">
        <v>3490.74</v>
      </c>
      <c r="I32" s="2" t="n">
        <v>4.9</v>
      </c>
    </row>
    <row r="33" customFormat="false" ht="14.35" hidden="false" customHeight="false" outlineLevel="0" collapsed="false">
      <c r="A33" s="0" t="n">
        <v>99</v>
      </c>
      <c r="B33" s="2" t="s">
        <v>112</v>
      </c>
      <c r="C33" s="2" t="s">
        <v>15</v>
      </c>
      <c r="D33" s="2" t="n">
        <v>38.52</v>
      </c>
      <c r="E33" s="2" t="n">
        <v>43.53</v>
      </c>
      <c r="F33" s="2" t="n">
        <v>37</v>
      </c>
      <c r="G33" s="2" t="n">
        <v>1425.24</v>
      </c>
      <c r="H33" s="2" t="n">
        <v>1610.61</v>
      </c>
      <c r="I33" s="2" t="n">
        <v>5.01</v>
      </c>
    </row>
    <row r="34" customFormat="false" ht="14.35" hidden="false" customHeight="false" outlineLevel="0" collapsed="false">
      <c r="A34" s="0" t="n">
        <v>102</v>
      </c>
      <c r="B34" s="2" t="s">
        <v>115</v>
      </c>
      <c r="C34" s="2" t="s">
        <v>15</v>
      </c>
      <c r="D34" s="2" t="n">
        <v>18.77</v>
      </c>
      <c r="E34" s="2" t="n">
        <v>21.21</v>
      </c>
      <c r="F34" s="2" t="n">
        <v>137</v>
      </c>
      <c r="G34" s="2" t="n">
        <v>2571.49</v>
      </c>
      <c r="H34" s="2" t="n">
        <v>2905.77</v>
      </c>
      <c r="I34" s="2" t="n">
        <v>2.44</v>
      </c>
    </row>
    <row r="35" customFormat="false" ht="14.35" hidden="false" customHeight="false" outlineLevel="0" collapsed="false">
      <c r="A35" s="0" t="n">
        <v>116</v>
      </c>
      <c r="B35" s="2" t="s">
        <v>129</v>
      </c>
      <c r="C35" s="2" t="s">
        <v>15</v>
      </c>
      <c r="D35" s="2" t="n">
        <v>83.8</v>
      </c>
      <c r="E35" s="2" t="n">
        <v>114.81</v>
      </c>
      <c r="F35" s="2" t="n">
        <v>150</v>
      </c>
      <c r="G35" s="2" t="n">
        <v>12570</v>
      </c>
      <c r="H35" s="2" t="n">
        <v>17221.5</v>
      </c>
      <c r="I35" s="2" t="n">
        <v>31.01</v>
      </c>
    </row>
    <row r="36" customFormat="false" ht="14.35" hidden="false" customHeight="false" outlineLevel="0" collapsed="false">
      <c r="A36" s="0" t="n">
        <v>134</v>
      </c>
      <c r="B36" s="2" t="s">
        <v>147</v>
      </c>
      <c r="C36" s="2" t="s">
        <v>15</v>
      </c>
      <c r="D36" s="2" t="n">
        <v>35.05</v>
      </c>
      <c r="E36" s="2" t="n">
        <v>49.07</v>
      </c>
      <c r="F36" s="2" t="n">
        <v>20</v>
      </c>
      <c r="G36" s="2" t="n">
        <v>701</v>
      </c>
      <c r="H36" s="2" t="n">
        <v>981.4</v>
      </c>
      <c r="I36" s="2" t="n">
        <v>14.02</v>
      </c>
    </row>
    <row r="37" customFormat="false" ht="14.35" hidden="false" customHeight="false" outlineLevel="0" collapsed="false">
      <c r="A37" s="0" t="n">
        <v>135</v>
      </c>
      <c r="B37" s="2" t="s">
        <v>148</v>
      </c>
      <c r="C37" s="2" t="s">
        <v>15</v>
      </c>
      <c r="D37" s="2" t="n">
        <v>43.04</v>
      </c>
      <c r="E37" s="2" t="n">
        <v>58.1</v>
      </c>
      <c r="F37" s="2" t="n">
        <v>27</v>
      </c>
      <c r="G37" s="2" t="n">
        <v>1162.08</v>
      </c>
      <c r="H37" s="2" t="n">
        <v>1568.7</v>
      </c>
      <c r="I37" s="2" t="n">
        <v>15.06</v>
      </c>
    </row>
    <row r="38" customFormat="false" ht="14.35" hidden="false" customHeight="false" outlineLevel="0" collapsed="false">
      <c r="A38" s="0" t="n">
        <v>139</v>
      </c>
      <c r="B38" s="2" t="s">
        <v>152</v>
      </c>
      <c r="C38" s="2" t="s">
        <v>15</v>
      </c>
      <c r="D38" s="2" t="n">
        <v>70.07</v>
      </c>
      <c r="E38" s="2" t="n">
        <v>86.19</v>
      </c>
      <c r="F38" s="2" t="n">
        <v>66</v>
      </c>
      <c r="G38" s="2" t="n">
        <v>4624.62</v>
      </c>
      <c r="H38" s="2" t="n">
        <v>5688.54</v>
      </c>
      <c r="I38" s="2" t="n">
        <v>16.12</v>
      </c>
    </row>
    <row r="39" customFormat="false" ht="14.35" hidden="false" customHeight="false" outlineLevel="0" collapsed="false">
      <c r="A39" s="0" t="n">
        <v>145</v>
      </c>
      <c r="B39" s="2" t="s">
        <v>158</v>
      </c>
      <c r="C39" s="2" t="s">
        <v>15</v>
      </c>
      <c r="D39" s="2" t="n">
        <v>78.78</v>
      </c>
      <c r="E39" s="2" t="n">
        <v>87.45</v>
      </c>
      <c r="F39" s="2" t="n">
        <v>117</v>
      </c>
      <c r="G39" s="2" t="n">
        <v>9217.26</v>
      </c>
      <c r="H39" s="2" t="n">
        <v>10231.65</v>
      </c>
      <c r="I39" s="2" t="n">
        <v>8.67</v>
      </c>
    </row>
    <row r="40" customFormat="false" ht="14.35" hidden="false" customHeight="false" outlineLevel="0" collapsed="false">
      <c r="A40" s="0" t="n">
        <v>148</v>
      </c>
      <c r="B40" s="2" t="s">
        <v>161</v>
      </c>
      <c r="C40" s="2" t="s">
        <v>15</v>
      </c>
      <c r="D40" s="2" t="n">
        <v>93.77</v>
      </c>
      <c r="E40" s="2" t="n">
        <v>122.84</v>
      </c>
      <c r="F40" s="2" t="n">
        <v>2</v>
      </c>
      <c r="G40" s="2" t="n">
        <v>187.54</v>
      </c>
      <c r="H40" s="2" t="n">
        <v>245.68</v>
      </c>
      <c r="I40" s="2" t="n">
        <v>29.07</v>
      </c>
    </row>
    <row r="41" customFormat="false" ht="14.35" hidden="false" customHeight="false" outlineLevel="0" collapsed="false">
      <c r="A41" s="0" t="n">
        <v>150</v>
      </c>
      <c r="B41" s="2" t="s">
        <v>163</v>
      </c>
      <c r="C41" s="2" t="s">
        <v>15</v>
      </c>
      <c r="D41" s="2" t="n">
        <v>58.83</v>
      </c>
      <c r="E41" s="2" t="n">
        <v>68.24</v>
      </c>
      <c r="F41" s="2" t="n">
        <v>63</v>
      </c>
      <c r="G41" s="2" t="n">
        <v>3706.29</v>
      </c>
      <c r="H41" s="2" t="n">
        <v>4299.12</v>
      </c>
      <c r="I41" s="2" t="n">
        <v>9.41</v>
      </c>
    </row>
    <row r="42" customFormat="false" ht="14.35" hidden="false" customHeight="false" outlineLevel="0" collapsed="false">
      <c r="A42" s="0" t="n">
        <v>155</v>
      </c>
      <c r="B42" s="2" t="s">
        <v>168</v>
      </c>
      <c r="C42" s="2" t="s">
        <v>15</v>
      </c>
      <c r="D42" s="2" t="n">
        <v>100.05</v>
      </c>
      <c r="E42" s="2" t="n">
        <v>134.07</v>
      </c>
      <c r="F42" s="2" t="n">
        <v>58</v>
      </c>
      <c r="G42" s="2" t="n">
        <v>5802.9</v>
      </c>
      <c r="H42" s="2" t="n">
        <v>7776.06</v>
      </c>
      <c r="I42" s="2" t="n">
        <v>34.02</v>
      </c>
    </row>
    <row r="43" customFormat="false" ht="14.35" hidden="false" customHeight="false" outlineLevel="0" collapsed="false">
      <c r="A43" s="0" t="n">
        <v>161</v>
      </c>
      <c r="B43" s="2" t="s">
        <v>174</v>
      </c>
      <c r="C43" s="2" t="s">
        <v>15</v>
      </c>
      <c r="D43" s="2" t="n">
        <v>73.16</v>
      </c>
      <c r="E43" s="2" t="n">
        <v>86.33</v>
      </c>
      <c r="F43" s="2" t="n">
        <v>77</v>
      </c>
      <c r="G43" s="2" t="n">
        <v>5633.32</v>
      </c>
      <c r="H43" s="2" t="n">
        <v>6647.41</v>
      </c>
      <c r="I43" s="2" t="n">
        <v>13.17</v>
      </c>
    </row>
    <row r="44" customFormat="false" ht="14.35" hidden="false" customHeight="false" outlineLevel="0" collapsed="false">
      <c r="A44" s="0" t="n">
        <v>162</v>
      </c>
      <c r="B44" s="2" t="s">
        <v>175</v>
      </c>
      <c r="C44" s="2" t="s">
        <v>15</v>
      </c>
      <c r="D44" s="2" t="n">
        <v>74.46</v>
      </c>
      <c r="E44" s="2" t="n">
        <v>94.56</v>
      </c>
      <c r="F44" s="2" t="n">
        <v>94</v>
      </c>
      <c r="G44" s="2" t="n">
        <v>6999.24</v>
      </c>
      <c r="H44" s="2" t="n">
        <v>8888.64</v>
      </c>
      <c r="I44" s="2" t="n">
        <v>20.1</v>
      </c>
    </row>
    <row r="45" customFormat="false" ht="14.35" hidden="false" customHeight="false" outlineLevel="0" collapsed="false">
      <c r="A45" s="0" t="n">
        <v>173</v>
      </c>
      <c r="B45" s="2" t="s">
        <v>186</v>
      </c>
      <c r="C45" s="2" t="s">
        <v>15</v>
      </c>
      <c r="D45" s="2" t="n">
        <v>22.5</v>
      </c>
      <c r="E45" s="2" t="n">
        <v>27.23</v>
      </c>
      <c r="F45" s="2" t="n">
        <v>67</v>
      </c>
      <c r="G45" s="2" t="n">
        <v>1507.5</v>
      </c>
      <c r="H45" s="2" t="n">
        <v>1824.41</v>
      </c>
      <c r="I45" s="2" t="n">
        <v>4.73</v>
      </c>
    </row>
    <row r="46" customFormat="false" ht="14.35" hidden="false" customHeight="false" outlineLevel="0" collapsed="false">
      <c r="A46" s="0" t="n">
        <v>181</v>
      </c>
      <c r="B46" s="2" t="s">
        <v>194</v>
      </c>
      <c r="C46" s="2" t="s">
        <v>15</v>
      </c>
      <c r="D46" s="2" t="n">
        <v>73.16</v>
      </c>
      <c r="E46" s="2" t="n">
        <v>89.26</v>
      </c>
      <c r="F46" s="2" t="n">
        <v>4</v>
      </c>
      <c r="G46" s="2" t="n">
        <v>292.64</v>
      </c>
      <c r="H46" s="2" t="n">
        <v>357.04</v>
      </c>
      <c r="I46" s="2" t="n">
        <v>16.1</v>
      </c>
    </row>
    <row r="47" customFormat="false" ht="14.35" hidden="false" customHeight="false" outlineLevel="0" collapsed="false">
      <c r="A47" s="0" t="n">
        <v>182</v>
      </c>
      <c r="B47" s="2" t="s">
        <v>195</v>
      </c>
      <c r="C47" s="2" t="s">
        <v>15</v>
      </c>
      <c r="D47" s="2" t="n">
        <v>32.2</v>
      </c>
      <c r="E47" s="2" t="n">
        <v>40.25</v>
      </c>
      <c r="F47" s="2" t="n">
        <v>69</v>
      </c>
      <c r="G47" s="2" t="n">
        <v>2221.8</v>
      </c>
      <c r="H47" s="2" t="n">
        <v>2777.25</v>
      </c>
      <c r="I47" s="2" t="n">
        <v>8.05</v>
      </c>
    </row>
    <row r="48" customFormat="false" ht="14.35" hidden="false" customHeight="false" outlineLevel="0" collapsed="false">
      <c r="A48" s="0" t="n">
        <v>198</v>
      </c>
      <c r="B48" s="2" t="s">
        <v>211</v>
      </c>
      <c r="C48" s="2" t="s">
        <v>15</v>
      </c>
      <c r="D48" s="2" t="n">
        <v>53.46</v>
      </c>
      <c r="E48" s="2" t="n">
        <v>71.64</v>
      </c>
      <c r="F48" s="2" t="n">
        <v>120</v>
      </c>
      <c r="G48" s="2" t="n">
        <v>6415.2</v>
      </c>
      <c r="H48" s="2" t="n">
        <v>8596.8</v>
      </c>
      <c r="I48" s="2" t="n">
        <v>18.18</v>
      </c>
    </row>
    <row r="51" customFormat="false" ht="41.75" hidden="false" customHeight="false" outlineLevel="0" collapsed="false">
      <c r="B51" s="2" t="s">
        <v>1</v>
      </c>
      <c r="C51" s="2" t="s">
        <v>2</v>
      </c>
      <c r="D51" s="2" t="s">
        <v>3</v>
      </c>
      <c r="E51" s="2" t="s">
        <v>4</v>
      </c>
      <c r="F51" s="2" t="s">
        <v>5</v>
      </c>
      <c r="G51" s="2" t="s">
        <v>6</v>
      </c>
      <c r="H51" s="2" t="s">
        <v>7</v>
      </c>
      <c r="I51" s="2" t="s">
        <v>8</v>
      </c>
    </row>
    <row r="52" customFormat="false" ht="14.35" hidden="false" customHeight="false" outlineLevel="0" collapsed="false">
      <c r="A52" s="0" t="n">
        <v>17</v>
      </c>
      <c r="B52" s="2" t="s">
        <v>29</v>
      </c>
      <c r="C52" s="2" t="s">
        <v>30</v>
      </c>
      <c r="D52" s="2" t="n">
        <v>61.64</v>
      </c>
      <c r="E52" s="2" t="n">
        <v>79.52</v>
      </c>
      <c r="F52" s="2" t="n">
        <v>15</v>
      </c>
      <c r="G52" s="2" t="n">
        <v>924.6</v>
      </c>
      <c r="H52" s="2" t="n">
        <v>1192.8</v>
      </c>
      <c r="I52" s="2" t="n">
        <v>17.88</v>
      </c>
    </row>
    <row r="53" customFormat="false" ht="14.35" hidden="false" customHeight="false" outlineLevel="0" collapsed="false">
      <c r="A53" s="0" t="n">
        <v>23</v>
      </c>
      <c r="B53" s="2" t="s">
        <v>36</v>
      </c>
      <c r="C53" s="2" t="s">
        <v>30</v>
      </c>
      <c r="D53" s="2" t="n">
        <v>72.91</v>
      </c>
      <c r="E53" s="2" t="n">
        <v>83.12</v>
      </c>
      <c r="F53" s="2" t="n">
        <v>6</v>
      </c>
      <c r="G53" s="2" t="n">
        <v>437.46</v>
      </c>
      <c r="H53" s="2" t="n">
        <v>498.72</v>
      </c>
      <c r="I53" s="2" t="n">
        <v>10.21</v>
      </c>
    </row>
    <row r="54" customFormat="false" ht="14.35" hidden="false" customHeight="false" outlineLevel="0" collapsed="false">
      <c r="A54" s="0" t="n">
        <v>25</v>
      </c>
      <c r="B54" s="2" t="s">
        <v>38</v>
      </c>
      <c r="C54" s="2" t="s">
        <v>30</v>
      </c>
      <c r="D54" s="2" t="n">
        <v>24.06</v>
      </c>
      <c r="E54" s="2" t="n">
        <v>30.32</v>
      </c>
      <c r="F54" s="2" t="n">
        <v>31</v>
      </c>
      <c r="G54" s="2" t="n">
        <v>745.86</v>
      </c>
      <c r="H54" s="2" t="n">
        <v>939.92</v>
      </c>
      <c r="I54" s="2" t="n">
        <v>6.26</v>
      </c>
    </row>
    <row r="55" customFormat="false" ht="14.35" hidden="false" customHeight="false" outlineLevel="0" collapsed="false">
      <c r="A55" s="0" t="n">
        <v>36</v>
      </c>
      <c r="B55" s="2" t="s">
        <v>49</v>
      </c>
      <c r="C55" s="2" t="s">
        <v>30</v>
      </c>
      <c r="D55" s="2" t="n">
        <v>43.41</v>
      </c>
      <c r="E55" s="2" t="n">
        <v>49.05</v>
      </c>
      <c r="F55" s="2" t="n">
        <v>121</v>
      </c>
      <c r="G55" s="2" t="n">
        <v>5252.61</v>
      </c>
      <c r="H55" s="2" t="n">
        <v>5935.05</v>
      </c>
      <c r="I55" s="2" t="n">
        <v>5.64</v>
      </c>
    </row>
    <row r="56" customFormat="false" ht="14.35" hidden="false" customHeight="false" outlineLevel="0" collapsed="false">
      <c r="A56" s="0" t="n">
        <v>38</v>
      </c>
      <c r="B56" s="2" t="s">
        <v>51</v>
      </c>
      <c r="C56" s="2" t="s">
        <v>30</v>
      </c>
      <c r="D56" s="2" t="n">
        <v>12.87</v>
      </c>
      <c r="E56" s="2" t="n">
        <v>17.5</v>
      </c>
      <c r="F56" s="2" t="n">
        <v>102</v>
      </c>
      <c r="G56" s="2" t="n">
        <v>1312.74</v>
      </c>
      <c r="H56" s="2" t="n">
        <v>1785</v>
      </c>
      <c r="I56" s="2" t="n">
        <v>4.63</v>
      </c>
    </row>
    <row r="57" customFormat="false" ht="14.35" hidden="false" customHeight="false" outlineLevel="0" collapsed="false">
      <c r="A57" s="0" t="n">
        <v>42</v>
      </c>
      <c r="B57" s="2" t="s">
        <v>55</v>
      </c>
      <c r="C57" s="2" t="s">
        <v>30</v>
      </c>
      <c r="D57" s="2" t="n">
        <v>81.23</v>
      </c>
      <c r="E57" s="2" t="n">
        <v>99.91</v>
      </c>
      <c r="F57" s="2" t="n">
        <v>75</v>
      </c>
      <c r="G57" s="2" t="n">
        <v>6092.25</v>
      </c>
      <c r="H57" s="2" t="n">
        <v>7493.25</v>
      </c>
      <c r="I57" s="2" t="n">
        <v>18.68</v>
      </c>
    </row>
    <row r="58" customFormat="false" ht="14.35" hidden="false" customHeight="false" outlineLevel="0" collapsed="false">
      <c r="A58" s="0" t="n">
        <v>48</v>
      </c>
      <c r="B58" s="2" t="s">
        <v>61</v>
      </c>
      <c r="C58" s="2" t="s">
        <v>30</v>
      </c>
      <c r="D58" s="2" t="n">
        <v>22.59</v>
      </c>
      <c r="E58" s="2" t="n">
        <v>27.33</v>
      </c>
      <c r="F58" s="2" t="n">
        <v>106</v>
      </c>
      <c r="G58" s="2" t="n">
        <v>2394.54</v>
      </c>
      <c r="H58" s="2" t="n">
        <v>2896.98</v>
      </c>
      <c r="I58" s="2" t="n">
        <v>4.74</v>
      </c>
    </row>
    <row r="59" customFormat="false" ht="14.35" hidden="false" customHeight="false" outlineLevel="0" collapsed="false">
      <c r="A59" s="0" t="n">
        <v>51</v>
      </c>
      <c r="B59" s="2" t="s">
        <v>64</v>
      </c>
      <c r="C59" s="2" t="s">
        <v>30</v>
      </c>
      <c r="D59" s="2" t="n">
        <v>44.42</v>
      </c>
      <c r="E59" s="2" t="n">
        <v>52.86</v>
      </c>
      <c r="F59" s="2" t="n">
        <v>116</v>
      </c>
      <c r="G59" s="2" t="n">
        <v>5152.72</v>
      </c>
      <c r="H59" s="2" t="n">
        <v>6131.76</v>
      </c>
      <c r="I59" s="2" t="n">
        <v>8.44</v>
      </c>
    </row>
    <row r="60" customFormat="false" ht="14.35" hidden="false" customHeight="false" outlineLevel="0" collapsed="false">
      <c r="A60" s="0" t="n">
        <v>58</v>
      </c>
      <c r="B60" s="2" t="s">
        <v>71</v>
      </c>
      <c r="C60" s="2" t="s">
        <v>30</v>
      </c>
      <c r="D60" s="2" t="n">
        <v>69.27</v>
      </c>
      <c r="E60" s="2" t="n">
        <v>90.74</v>
      </c>
      <c r="F60" s="2" t="n">
        <v>86</v>
      </c>
      <c r="G60" s="2" t="n">
        <v>5957.22</v>
      </c>
      <c r="H60" s="2" t="n">
        <v>7803.64</v>
      </c>
      <c r="I60" s="2" t="n">
        <v>21.47</v>
      </c>
    </row>
    <row r="61" customFormat="false" ht="14.35" hidden="false" customHeight="false" outlineLevel="0" collapsed="false">
      <c r="A61" s="0" t="n">
        <v>59</v>
      </c>
      <c r="B61" s="2" t="s">
        <v>72</v>
      </c>
      <c r="C61" s="2" t="s">
        <v>30</v>
      </c>
      <c r="D61" s="2" t="n">
        <v>39.22</v>
      </c>
      <c r="E61" s="2" t="n">
        <v>52.95</v>
      </c>
      <c r="F61" s="2" t="n">
        <v>96</v>
      </c>
      <c r="G61" s="2" t="n">
        <v>3765.12</v>
      </c>
      <c r="H61" s="2" t="n">
        <v>5083.2</v>
      </c>
      <c r="I61" s="2" t="n">
        <v>13.73</v>
      </c>
    </row>
    <row r="62" customFormat="false" ht="14.35" hidden="false" customHeight="false" outlineLevel="0" collapsed="false">
      <c r="A62" s="0" t="n">
        <v>65</v>
      </c>
      <c r="B62" s="2" t="s">
        <v>78</v>
      </c>
      <c r="C62" s="2" t="s">
        <v>30</v>
      </c>
      <c r="D62" s="2" t="n">
        <v>39.83</v>
      </c>
      <c r="E62" s="2" t="n">
        <v>45.41</v>
      </c>
      <c r="F62" s="2" t="n">
        <v>105</v>
      </c>
      <c r="G62" s="2" t="n">
        <v>4182.15</v>
      </c>
      <c r="H62" s="2" t="n">
        <v>4768.05</v>
      </c>
      <c r="I62" s="2" t="n">
        <v>5.58</v>
      </c>
    </row>
    <row r="63" customFormat="false" ht="14.35" hidden="false" customHeight="false" outlineLevel="0" collapsed="false">
      <c r="A63" s="0" t="n">
        <v>68</v>
      </c>
      <c r="B63" s="2" t="s">
        <v>81</v>
      </c>
      <c r="C63" s="2" t="s">
        <v>30</v>
      </c>
      <c r="D63" s="2" t="n">
        <v>52.41</v>
      </c>
      <c r="E63" s="2" t="n">
        <v>69.18</v>
      </c>
      <c r="F63" s="2" t="n">
        <v>111</v>
      </c>
      <c r="G63" s="2" t="n">
        <v>5817.51</v>
      </c>
      <c r="H63" s="2" t="n">
        <v>7678.98</v>
      </c>
      <c r="I63" s="2" t="n">
        <v>16.77</v>
      </c>
    </row>
    <row r="64" customFormat="false" ht="14.35" hidden="false" customHeight="false" outlineLevel="0" collapsed="false">
      <c r="A64" s="0" t="n">
        <v>70</v>
      </c>
      <c r="B64" s="2" t="s">
        <v>83</v>
      </c>
      <c r="C64" s="2" t="s">
        <v>30</v>
      </c>
      <c r="D64" s="2" t="n">
        <v>15.75</v>
      </c>
      <c r="E64" s="2" t="n">
        <v>19.06</v>
      </c>
      <c r="F64" s="2" t="n">
        <v>23</v>
      </c>
      <c r="G64" s="2" t="n">
        <v>362.25</v>
      </c>
      <c r="H64" s="2" t="n">
        <v>438.38</v>
      </c>
      <c r="I64" s="2" t="n">
        <v>3.31</v>
      </c>
    </row>
    <row r="65" customFormat="false" ht="14.35" hidden="false" customHeight="false" outlineLevel="0" collapsed="false">
      <c r="A65" s="0" t="n">
        <v>76</v>
      </c>
      <c r="B65" s="2" t="s">
        <v>89</v>
      </c>
      <c r="C65" s="2" t="s">
        <v>30</v>
      </c>
      <c r="D65" s="2" t="n">
        <v>94.35</v>
      </c>
      <c r="E65" s="2" t="n">
        <v>130.2</v>
      </c>
      <c r="F65" s="2" t="n">
        <v>68</v>
      </c>
      <c r="G65" s="2" t="n">
        <v>6415.8</v>
      </c>
      <c r="H65" s="2" t="n">
        <v>8853.6</v>
      </c>
      <c r="I65" s="2" t="n">
        <v>35.85</v>
      </c>
    </row>
    <row r="66" customFormat="false" ht="14.35" hidden="false" customHeight="false" outlineLevel="0" collapsed="false">
      <c r="A66" s="0" t="n">
        <v>83</v>
      </c>
      <c r="B66" s="2" t="s">
        <v>96</v>
      </c>
      <c r="C66" s="2" t="s">
        <v>30</v>
      </c>
      <c r="D66" s="2" t="n">
        <v>58.72</v>
      </c>
      <c r="E66" s="2" t="n">
        <v>72.23</v>
      </c>
      <c r="F66" s="2" t="n">
        <v>123</v>
      </c>
      <c r="G66" s="2" t="n">
        <v>7222.56</v>
      </c>
      <c r="H66" s="2" t="n">
        <v>8884.29</v>
      </c>
      <c r="I66" s="2" t="n">
        <v>13.51</v>
      </c>
    </row>
    <row r="67" customFormat="false" ht="14.35" hidden="false" customHeight="false" outlineLevel="0" collapsed="false">
      <c r="A67" s="0" t="n">
        <v>87</v>
      </c>
      <c r="B67" s="2" t="s">
        <v>100</v>
      </c>
      <c r="C67" s="2" t="s">
        <v>30</v>
      </c>
      <c r="D67" s="2" t="n">
        <v>38.58</v>
      </c>
      <c r="E67" s="2" t="n">
        <v>48.23</v>
      </c>
      <c r="F67" s="2" t="n">
        <v>6</v>
      </c>
      <c r="G67" s="2" t="n">
        <v>231.48</v>
      </c>
      <c r="H67" s="2" t="n">
        <v>289.38</v>
      </c>
      <c r="I67" s="2" t="n">
        <v>9.65</v>
      </c>
    </row>
    <row r="68" customFormat="false" ht="14.35" hidden="false" customHeight="false" outlineLevel="0" collapsed="false">
      <c r="A68" s="0" t="n">
        <v>91</v>
      </c>
      <c r="B68" s="2" t="s">
        <v>104</v>
      </c>
      <c r="C68" s="2" t="s">
        <v>30</v>
      </c>
      <c r="D68" s="2" t="n">
        <v>64.8</v>
      </c>
      <c r="E68" s="2" t="n">
        <v>89.42</v>
      </c>
      <c r="F68" s="2" t="n">
        <v>115</v>
      </c>
      <c r="G68" s="2" t="n">
        <v>7452</v>
      </c>
      <c r="H68" s="2" t="n">
        <v>10283.3</v>
      </c>
      <c r="I68" s="2" t="n">
        <v>24.62</v>
      </c>
    </row>
    <row r="69" customFormat="false" ht="14.35" hidden="false" customHeight="false" outlineLevel="0" collapsed="false">
      <c r="A69" s="0" t="n">
        <v>92</v>
      </c>
      <c r="B69" s="2" t="s">
        <v>105</v>
      </c>
      <c r="C69" s="2" t="s">
        <v>30</v>
      </c>
      <c r="D69" s="2" t="n">
        <v>32.31</v>
      </c>
      <c r="E69" s="2" t="n">
        <v>43.94</v>
      </c>
      <c r="F69" s="2" t="n">
        <v>6</v>
      </c>
      <c r="G69" s="2" t="n">
        <v>193.86</v>
      </c>
      <c r="H69" s="2" t="n">
        <v>263.64</v>
      </c>
      <c r="I69" s="2" t="n">
        <v>11.63</v>
      </c>
    </row>
    <row r="70" customFormat="false" ht="14.35" hidden="false" customHeight="false" outlineLevel="0" collapsed="false">
      <c r="A70" s="0" t="n">
        <v>100</v>
      </c>
      <c r="B70" s="2" t="s">
        <v>113</v>
      </c>
      <c r="C70" s="2" t="s">
        <v>30</v>
      </c>
      <c r="D70" s="2" t="n">
        <v>98.43</v>
      </c>
      <c r="E70" s="2" t="n">
        <v>123.04</v>
      </c>
      <c r="F70" s="2" t="n">
        <v>144</v>
      </c>
      <c r="G70" s="2" t="n">
        <v>14173.92</v>
      </c>
      <c r="H70" s="2" t="n">
        <v>17717.76</v>
      </c>
      <c r="I70" s="2" t="n">
        <v>24.61</v>
      </c>
    </row>
    <row r="71" customFormat="false" ht="14.35" hidden="false" customHeight="false" outlineLevel="0" collapsed="false">
      <c r="A71" s="0" t="n">
        <v>103</v>
      </c>
      <c r="B71" s="2" t="s">
        <v>116</v>
      </c>
      <c r="C71" s="2" t="s">
        <v>30</v>
      </c>
      <c r="D71" s="2" t="n">
        <v>26.34</v>
      </c>
      <c r="E71" s="2" t="n">
        <v>33.72</v>
      </c>
      <c r="F71" s="2" t="n">
        <v>37</v>
      </c>
      <c r="G71" s="2" t="n">
        <v>974.58</v>
      </c>
      <c r="H71" s="2" t="n">
        <v>1247.64</v>
      </c>
      <c r="I71" s="2" t="n">
        <v>7.38</v>
      </c>
    </row>
    <row r="72" customFormat="false" ht="14.35" hidden="false" customHeight="false" outlineLevel="0" collapsed="false">
      <c r="A72" s="0" t="n">
        <v>105</v>
      </c>
      <c r="B72" s="2" t="s">
        <v>118</v>
      </c>
      <c r="C72" s="2" t="s">
        <v>30</v>
      </c>
      <c r="D72" s="2" t="n">
        <v>54.94</v>
      </c>
      <c r="E72" s="2" t="n">
        <v>68.13</v>
      </c>
      <c r="F72" s="2" t="n">
        <v>53</v>
      </c>
      <c r="G72" s="2" t="n">
        <v>2911.82</v>
      </c>
      <c r="H72" s="2" t="n">
        <v>3610.89</v>
      </c>
      <c r="I72" s="2" t="n">
        <v>13.19</v>
      </c>
    </row>
    <row r="73" customFormat="false" ht="14.35" hidden="false" customHeight="false" outlineLevel="0" collapsed="false">
      <c r="A73" s="0" t="n">
        <v>110</v>
      </c>
      <c r="B73" s="2" t="s">
        <v>123</v>
      </c>
      <c r="C73" s="2" t="s">
        <v>30</v>
      </c>
      <c r="D73" s="2" t="n">
        <v>24.01</v>
      </c>
      <c r="E73" s="2" t="n">
        <v>26.65</v>
      </c>
      <c r="F73" s="2" t="n">
        <v>139</v>
      </c>
      <c r="G73" s="2" t="n">
        <v>3337.39</v>
      </c>
      <c r="H73" s="2" t="n">
        <v>3704.35</v>
      </c>
      <c r="I73" s="2" t="n">
        <v>2.64</v>
      </c>
    </row>
    <row r="74" customFormat="false" ht="14.35" hidden="false" customHeight="false" outlineLevel="0" collapsed="false">
      <c r="A74" s="0" t="n">
        <v>113</v>
      </c>
      <c r="B74" s="2" t="s">
        <v>126</v>
      </c>
      <c r="C74" s="2" t="s">
        <v>30</v>
      </c>
      <c r="D74" s="2" t="n">
        <v>44.25</v>
      </c>
      <c r="E74" s="2" t="n">
        <v>51.77</v>
      </c>
      <c r="F74" s="2" t="n">
        <v>137</v>
      </c>
      <c r="G74" s="2" t="n">
        <v>6062.25</v>
      </c>
      <c r="H74" s="2" t="n">
        <v>7092.49</v>
      </c>
      <c r="I74" s="2" t="n">
        <v>7.52</v>
      </c>
    </row>
    <row r="75" customFormat="false" ht="14.35" hidden="false" customHeight="false" outlineLevel="0" collapsed="false">
      <c r="A75" s="0" t="n">
        <v>114</v>
      </c>
      <c r="B75" s="2" t="s">
        <v>127</v>
      </c>
      <c r="C75" s="2" t="s">
        <v>30</v>
      </c>
      <c r="D75" s="2" t="n">
        <v>76.58</v>
      </c>
      <c r="E75" s="2" t="n">
        <v>89.6</v>
      </c>
      <c r="F75" s="2" t="n">
        <v>35</v>
      </c>
      <c r="G75" s="2" t="n">
        <v>2680.3</v>
      </c>
      <c r="H75" s="2" t="n">
        <v>3136</v>
      </c>
      <c r="I75" s="2" t="n">
        <v>13.02</v>
      </c>
    </row>
    <row r="76" customFormat="false" ht="14.35" hidden="false" customHeight="false" outlineLevel="0" collapsed="false">
      <c r="A76" s="0" t="n">
        <v>126</v>
      </c>
      <c r="B76" s="2" t="s">
        <v>139</v>
      </c>
      <c r="C76" s="2" t="s">
        <v>30</v>
      </c>
      <c r="D76" s="2" t="n">
        <v>81.72</v>
      </c>
      <c r="E76" s="2" t="n">
        <v>102.15</v>
      </c>
      <c r="F76" s="2" t="n">
        <v>91</v>
      </c>
      <c r="G76" s="2" t="n">
        <v>7436.52</v>
      </c>
      <c r="H76" s="2" t="n">
        <v>9295.65</v>
      </c>
      <c r="I76" s="2" t="n">
        <v>20.43</v>
      </c>
    </row>
    <row r="77" customFormat="false" ht="14.35" hidden="false" customHeight="false" outlineLevel="0" collapsed="false">
      <c r="A77" s="0" t="n">
        <v>127</v>
      </c>
      <c r="B77" s="2" t="s">
        <v>140</v>
      </c>
      <c r="C77" s="2" t="s">
        <v>30</v>
      </c>
      <c r="D77" s="2" t="n">
        <v>89.04</v>
      </c>
      <c r="E77" s="2" t="n">
        <v>103.29</v>
      </c>
      <c r="F77" s="2" t="n">
        <v>126</v>
      </c>
      <c r="G77" s="2" t="n">
        <v>11219.04</v>
      </c>
      <c r="H77" s="2" t="n">
        <v>13014.54</v>
      </c>
      <c r="I77" s="2" t="n">
        <v>14.25</v>
      </c>
    </row>
    <row r="78" customFormat="false" ht="14.35" hidden="false" customHeight="false" outlineLevel="0" collapsed="false">
      <c r="A78" s="0" t="n">
        <v>136</v>
      </c>
      <c r="B78" s="2" t="s">
        <v>149</v>
      </c>
      <c r="C78" s="2" t="s">
        <v>30</v>
      </c>
      <c r="D78" s="2" t="n">
        <v>87.97</v>
      </c>
      <c r="E78" s="2" t="n">
        <v>117</v>
      </c>
      <c r="F78" s="2" t="n">
        <v>23</v>
      </c>
      <c r="G78" s="2" t="n">
        <v>2023.31</v>
      </c>
      <c r="H78" s="2" t="n">
        <v>2691</v>
      </c>
      <c r="I78" s="2" t="n">
        <v>29.03</v>
      </c>
    </row>
    <row r="79" customFormat="false" ht="14.35" hidden="false" customHeight="false" outlineLevel="0" collapsed="false">
      <c r="A79" s="0" t="n">
        <v>137</v>
      </c>
      <c r="B79" s="2" t="s">
        <v>150</v>
      </c>
      <c r="C79" s="2" t="s">
        <v>30</v>
      </c>
      <c r="D79" s="2" t="n">
        <v>22.81</v>
      </c>
      <c r="E79" s="2" t="n">
        <v>26</v>
      </c>
      <c r="F79" s="2" t="n">
        <v>82</v>
      </c>
      <c r="G79" s="2" t="n">
        <v>1870.42</v>
      </c>
      <c r="H79" s="2" t="n">
        <v>2132</v>
      </c>
      <c r="I79" s="2" t="n">
        <v>3.19</v>
      </c>
    </row>
    <row r="80" customFormat="false" ht="14.35" hidden="false" customHeight="false" outlineLevel="0" collapsed="false">
      <c r="A80" s="0" t="n">
        <v>138</v>
      </c>
      <c r="B80" s="2" t="s">
        <v>151</v>
      </c>
      <c r="C80" s="2" t="s">
        <v>30</v>
      </c>
      <c r="D80" s="2" t="n">
        <v>86.77</v>
      </c>
      <c r="E80" s="2" t="n">
        <v>103.26</v>
      </c>
      <c r="F80" s="2" t="n">
        <v>114</v>
      </c>
      <c r="G80" s="2" t="n">
        <v>9891.78</v>
      </c>
      <c r="H80" s="2" t="n">
        <v>11771.64</v>
      </c>
      <c r="I80" s="2" t="n">
        <v>16.49</v>
      </c>
    </row>
    <row r="81" customFormat="false" ht="14.35" hidden="false" customHeight="false" outlineLevel="0" collapsed="false">
      <c r="A81" s="0" t="n">
        <v>142</v>
      </c>
      <c r="B81" s="2" t="s">
        <v>155</v>
      </c>
      <c r="C81" s="2" t="s">
        <v>30</v>
      </c>
      <c r="D81" s="2" t="n">
        <v>33.08</v>
      </c>
      <c r="E81" s="2" t="n">
        <v>39.37</v>
      </c>
      <c r="F81" s="2" t="n">
        <v>55</v>
      </c>
      <c r="G81" s="2" t="n">
        <v>1819.4</v>
      </c>
      <c r="H81" s="2" t="n">
        <v>2165.35</v>
      </c>
      <c r="I81" s="2" t="n">
        <v>6.29</v>
      </c>
    </row>
    <row r="82" customFormat="false" ht="14.35" hidden="false" customHeight="false" outlineLevel="0" collapsed="false">
      <c r="A82" s="0" t="n">
        <v>146</v>
      </c>
      <c r="B82" s="2" t="s">
        <v>159</v>
      </c>
      <c r="C82" s="2" t="s">
        <v>30</v>
      </c>
      <c r="D82" s="2" t="n">
        <v>25.65</v>
      </c>
      <c r="E82" s="2" t="n">
        <v>31.81</v>
      </c>
      <c r="F82" s="2" t="n">
        <v>41</v>
      </c>
      <c r="G82" s="2" t="n">
        <v>1051.65</v>
      </c>
      <c r="H82" s="2" t="n">
        <v>1304.21</v>
      </c>
      <c r="I82" s="2" t="n">
        <v>6.16</v>
      </c>
    </row>
    <row r="83" customFormat="false" ht="14.35" hidden="false" customHeight="false" outlineLevel="0" collapsed="false">
      <c r="A83" s="0" t="n">
        <v>149</v>
      </c>
      <c r="B83" s="2" t="s">
        <v>162</v>
      </c>
      <c r="C83" s="2" t="s">
        <v>30</v>
      </c>
      <c r="D83" s="2" t="n">
        <v>43.33</v>
      </c>
      <c r="E83" s="2" t="n">
        <v>54.6</v>
      </c>
      <c r="F83" s="2" t="n">
        <v>6</v>
      </c>
      <c r="G83" s="2" t="n">
        <v>259.98</v>
      </c>
      <c r="H83" s="2" t="n">
        <v>327.6</v>
      </c>
      <c r="I83" s="2" t="n">
        <v>11.27</v>
      </c>
    </row>
    <row r="84" customFormat="false" ht="14.35" hidden="false" customHeight="false" outlineLevel="0" collapsed="false">
      <c r="A84" s="0" t="n">
        <v>153</v>
      </c>
      <c r="B84" s="2" t="s">
        <v>166</v>
      </c>
      <c r="C84" s="2" t="s">
        <v>30</v>
      </c>
      <c r="D84" s="2" t="n">
        <v>52.95</v>
      </c>
      <c r="E84" s="2" t="n">
        <v>66.72</v>
      </c>
      <c r="F84" s="2" t="n">
        <v>87</v>
      </c>
      <c r="G84" s="2" t="n">
        <v>4606.65</v>
      </c>
      <c r="H84" s="2" t="n">
        <v>5804.64</v>
      </c>
      <c r="I84" s="2" t="n">
        <v>13.77</v>
      </c>
    </row>
    <row r="85" customFormat="false" ht="14.35" hidden="false" customHeight="false" outlineLevel="0" collapsed="false">
      <c r="A85" s="0" t="n">
        <v>158</v>
      </c>
      <c r="B85" s="2" t="s">
        <v>171</v>
      </c>
      <c r="C85" s="2" t="s">
        <v>30</v>
      </c>
      <c r="D85" s="2" t="n">
        <v>47.71</v>
      </c>
      <c r="E85" s="2" t="n">
        <v>53.91</v>
      </c>
      <c r="F85" s="2" t="n">
        <v>71</v>
      </c>
      <c r="G85" s="2" t="n">
        <v>3387.41</v>
      </c>
      <c r="H85" s="2" t="n">
        <v>3827.61</v>
      </c>
      <c r="I85" s="2" t="n">
        <v>6.2</v>
      </c>
    </row>
    <row r="86" customFormat="false" ht="14.35" hidden="false" customHeight="false" outlineLevel="0" collapsed="false">
      <c r="A86" s="0" t="n">
        <v>165</v>
      </c>
      <c r="B86" s="2" t="s">
        <v>178</v>
      </c>
      <c r="C86" s="2" t="s">
        <v>30</v>
      </c>
      <c r="D86" s="2" t="n">
        <v>59.19</v>
      </c>
      <c r="E86" s="2" t="n">
        <v>77.54</v>
      </c>
      <c r="F86" s="2" t="n">
        <v>49</v>
      </c>
      <c r="G86" s="2" t="n">
        <v>2900.31</v>
      </c>
      <c r="H86" s="2" t="n">
        <v>3799.46</v>
      </c>
      <c r="I86" s="2" t="n">
        <v>18.35</v>
      </c>
    </row>
    <row r="87" customFormat="false" ht="14.35" hidden="false" customHeight="false" outlineLevel="0" collapsed="false">
      <c r="A87" s="0" t="n">
        <v>168</v>
      </c>
      <c r="B87" s="2" t="s">
        <v>181</v>
      </c>
      <c r="C87" s="2" t="s">
        <v>30</v>
      </c>
      <c r="D87" s="2" t="n">
        <v>36.51</v>
      </c>
      <c r="E87" s="2" t="n">
        <v>50.75</v>
      </c>
      <c r="F87" s="2" t="n">
        <v>31</v>
      </c>
      <c r="G87" s="2" t="n">
        <v>1131.81</v>
      </c>
      <c r="H87" s="2" t="n">
        <v>1573.25</v>
      </c>
      <c r="I87" s="2" t="n">
        <v>14.24</v>
      </c>
    </row>
    <row r="88" customFormat="false" ht="14.35" hidden="false" customHeight="false" outlineLevel="0" collapsed="false">
      <c r="A88" s="0" t="n">
        <v>189</v>
      </c>
      <c r="B88" s="2" t="s">
        <v>202</v>
      </c>
      <c r="C88" s="2" t="s">
        <v>30</v>
      </c>
      <c r="D88" s="2" t="n">
        <v>76.95</v>
      </c>
      <c r="E88" s="2" t="n">
        <v>89.26</v>
      </c>
      <c r="F88" s="2" t="n">
        <v>87</v>
      </c>
      <c r="G88" s="2" t="n">
        <v>6694.65</v>
      </c>
      <c r="H88" s="2" t="n">
        <v>7765.62</v>
      </c>
      <c r="I88" s="2" t="n">
        <v>12.31</v>
      </c>
    </row>
    <row r="89" customFormat="false" ht="14.35" hidden="false" customHeight="false" outlineLevel="0" collapsed="false">
      <c r="A89" s="0" t="n">
        <v>194</v>
      </c>
      <c r="B89" s="2" t="s">
        <v>207</v>
      </c>
      <c r="C89" s="2" t="s">
        <v>30</v>
      </c>
      <c r="D89" s="2" t="n">
        <v>19.32</v>
      </c>
      <c r="E89" s="2" t="n">
        <v>24.15</v>
      </c>
      <c r="F89" s="2" t="n">
        <v>111</v>
      </c>
      <c r="G89" s="2" t="n">
        <v>2144.52</v>
      </c>
      <c r="H89" s="2" t="n">
        <v>2680.65</v>
      </c>
      <c r="I89" s="2" t="n">
        <v>4.83</v>
      </c>
    </row>
    <row r="90" customFormat="false" ht="14.35" hidden="false" customHeight="false" outlineLevel="0" collapsed="false">
      <c r="A90" s="0" t="n">
        <v>197</v>
      </c>
      <c r="B90" s="2" t="s">
        <v>210</v>
      </c>
      <c r="C90" s="2" t="s">
        <v>30</v>
      </c>
      <c r="D90" s="2" t="n">
        <v>24.45</v>
      </c>
      <c r="E90" s="2" t="n">
        <v>32.76</v>
      </c>
      <c r="F90" s="2" t="n">
        <v>144</v>
      </c>
      <c r="G90" s="2" t="n">
        <v>3520.8</v>
      </c>
      <c r="H90" s="2" t="n">
        <v>4717.44</v>
      </c>
      <c r="I90" s="2" t="n">
        <v>8.31</v>
      </c>
    </row>
    <row r="93" customFormat="false" ht="41.75" hidden="false" customHeight="false" outlineLevel="0" collapsed="false">
      <c r="A93" s="0" t="s">
        <v>0</v>
      </c>
      <c r="B93" s="2" t="s">
        <v>1</v>
      </c>
      <c r="C93" s="2" t="s">
        <v>2</v>
      </c>
      <c r="D93" s="2" t="s">
        <v>3</v>
      </c>
      <c r="E93" s="2" t="s">
        <v>4</v>
      </c>
      <c r="F93" s="2" t="s">
        <v>5</v>
      </c>
      <c r="G93" s="2" t="s">
        <v>6</v>
      </c>
      <c r="H93" s="2" t="s">
        <v>7</v>
      </c>
      <c r="I93" s="2" t="s">
        <v>8</v>
      </c>
    </row>
    <row r="94" customFormat="false" ht="14.35" hidden="false" customHeight="false" outlineLevel="0" collapsed="false">
      <c r="A94" s="0" t="n">
        <v>3</v>
      </c>
      <c r="B94" s="2" t="s">
        <v>12</v>
      </c>
      <c r="C94" s="2" t="s">
        <v>13</v>
      </c>
      <c r="D94" s="2" t="n">
        <v>34.14</v>
      </c>
      <c r="E94" s="2" t="n">
        <v>46.77</v>
      </c>
      <c r="F94" s="2" t="n">
        <v>126</v>
      </c>
      <c r="G94" s="2" t="n">
        <v>4301.64</v>
      </c>
      <c r="H94" s="2" t="n">
        <v>5893.02</v>
      </c>
      <c r="I94" s="2" t="n">
        <v>12.63</v>
      </c>
    </row>
    <row r="95" customFormat="false" ht="14.35" hidden="false" customHeight="false" outlineLevel="0" collapsed="false">
      <c r="A95" s="0" t="n">
        <v>18</v>
      </c>
      <c r="B95" s="2" t="s">
        <v>31</v>
      </c>
      <c r="C95" s="2" t="s">
        <v>13</v>
      </c>
      <c r="D95" s="2" t="n">
        <v>84.43</v>
      </c>
      <c r="E95" s="2" t="n">
        <v>106.38</v>
      </c>
      <c r="F95" s="2" t="n">
        <v>108</v>
      </c>
      <c r="G95" s="2" t="n">
        <v>9118.44</v>
      </c>
      <c r="H95" s="2" t="n">
        <v>11489.04</v>
      </c>
      <c r="I95" s="2" t="n">
        <v>21.95</v>
      </c>
    </row>
    <row r="96" customFormat="false" ht="14.35" hidden="false" customHeight="false" outlineLevel="0" collapsed="false">
      <c r="A96" s="0" t="n">
        <v>22</v>
      </c>
      <c r="B96" s="2" t="s">
        <v>35</v>
      </c>
      <c r="C96" s="2" t="s">
        <v>13</v>
      </c>
      <c r="D96" s="2" t="n">
        <v>98.33</v>
      </c>
      <c r="E96" s="2" t="n">
        <v>132.75</v>
      </c>
      <c r="F96" s="2" t="n">
        <v>52</v>
      </c>
      <c r="G96" s="2" t="n">
        <v>5113.16</v>
      </c>
      <c r="H96" s="2" t="n">
        <v>6903</v>
      </c>
      <c r="I96" s="2" t="n">
        <v>34.42</v>
      </c>
    </row>
    <row r="97" customFormat="false" ht="14.35" hidden="false" customHeight="false" outlineLevel="0" collapsed="false">
      <c r="A97" s="0" t="n">
        <v>24</v>
      </c>
      <c r="B97" s="2" t="s">
        <v>37</v>
      </c>
      <c r="C97" s="2" t="s">
        <v>13</v>
      </c>
      <c r="D97" s="2" t="n">
        <v>45.82</v>
      </c>
      <c r="E97" s="2" t="n">
        <v>56.82</v>
      </c>
      <c r="F97" s="2" t="n">
        <v>68</v>
      </c>
      <c r="G97" s="2" t="n">
        <v>3115.76</v>
      </c>
      <c r="H97" s="2" t="n">
        <v>3863.76</v>
      </c>
      <c r="I97" s="2" t="n">
        <v>11</v>
      </c>
    </row>
    <row r="98" customFormat="false" ht="14.35" hidden="false" customHeight="false" outlineLevel="0" collapsed="false">
      <c r="A98" s="0" t="n">
        <v>31</v>
      </c>
      <c r="B98" s="2" t="s">
        <v>44</v>
      </c>
      <c r="C98" s="2" t="s">
        <v>13</v>
      </c>
      <c r="D98" s="2" t="n">
        <v>13.08</v>
      </c>
      <c r="E98" s="2" t="n">
        <v>17.79</v>
      </c>
      <c r="F98" s="2" t="n">
        <v>48</v>
      </c>
      <c r="G98" s="2" t="n">
        <v>627.84</v>
      </c>
      <c r="H98" s="2" t="n">
        <v>853.92</v>
      </c>
      <c r="I98" s="2" t="n">
        <v>4.71</v>
      </c>
    </row>
    <row r="99" customFormat="false" ht="14.35" hidden="false" customHeight="false" outlineLevel="0" collapsed="false">
      <c r="A99" s="0" t="n">
        <v>35</v>
      </c>
      <c r="B99" s="2" t="s">
        <v>48</v>
      </c>
      <c r="C99" s="2" t="s">
        <v>13</v>
      </c>
      <c r="D99" s="2" t="n">
        <v>35.71</v>
      </c>
      <c r="E99" s="2" t="n">
        <v>48.21</v>
      </c>
      <c r="F99" s="2" t="n">
        <v>17</v>
      </c>
      <c r="G99" s="2" t="n">
        <v>607.07</v>
      </c>
      <c r="H99" s="2" t="n">
        <v>819.57</v>
      </c>
      <c r="I99" s="2" t="n">
        <v>12.5</v>
      </c>
    </row>
    <row r="100" customFormat="false" ht="14.35" hidden="false" customHeight="false" outlineLevel="0" collapsed="false">
      <c r="A100" s="0" t="n">
        <v>39</v>
      </c>
      <c r="B100" s="2" t="s">
        <v>52</v>
      </c>
      <c r="C100" s="2" t="s">
        <v>13</v>
      </c>
      <c r="D100" s="2" t="n">
        <v>37.19</v>
      </c>
      <c r="E100" s="2" t="n">
        <v>41.65</v>
      </c>
      <c r="F100" s="2" t="n">
        <v>90</v>
      </c>
      <c r="G100" s="2" t="n">
        <v>3347.1</v>
      </c>
      <c r="H100" s="2" t="n">
        <v>3748.5</v>
      </c>
      <c r="I100" s="2" t="n">
        <v>4.46</v>
      </c>
    </row>
    <row r="101" customFormat="false" ht="14.35" hidden="false" customHeight="false" outlineLevel="0" collapsed="false">
      <c r="A101" s="0" t="n">
        <v>41</v>
      </c>
      <c r="B101" s="2" t="s">
        <v>54</v>
      </c>
      <c r="C101" s="2" t="s">
        <v>13</v>
      </c>
      <c r="D101" s="2" t="n">
        <v>80.36</v>
      </c>
      <c r="E101" s="2" t="n">
        <v>101.25</v>
      </c>
      <c r="F101" s="2" t="n">
        <v>27</v>
      </c>
      <c r="G101" s="2" t="n">
        <v>2169.72</v>
      </c>
      <c r="H101" s="2" t="n">
        <v>2733.75</v>
      </c>
      <c r="I101" s="2" t="n">
        <v>20.89</v>
      </c>
    </row>
    <row r="102" customFormat="false" ht="14.35" hidden="false" customHeight="false" outlineLevel="0" collapsed="false">
      <c r="A102" s="0" t="n">
        <v>46</v>
      </c>
      <c r="B102" s="2" t="s">
        <v>59</v>
      </c>
      <c r="C102" s="2" t="s">
        <v>13</v>
      </c>
      <c r="D102" s="2" t="n">
        <v>77.01</v>
      </c>
      <c r="E102" s="2" t="n">
        <v>85.48</v>
      </c>
      <c r="F102" s="2" t="n">
        <v>45</v>
      </c>
      <c r="G102" s="2" t="n">
        <v>3465.45</v>
      </c>
      <c r="H102" s="2" t="n">
        <v>3846.6</v>
      </c>
      <c r="I102" s="2" t="n">
        <v>8.47</v>
      </c>
    </row>
    <row r="103" customFormat="false" ht="14.35" hidden="false" customHeight="false" outlineLevel="0" collapsed="false">
      <c r="A103" s="0" t="n">
        <v>47</v>
      </c>
      <c r="B103" s="2" t="s">
        <v>60</v>
      </c>
      <c r="C103" s="2" t="s">
        <v>13</v>
      </c>
      <c r="D103" s="2" t="n">
        <v>74.82</v>
      </c>
      <c r="E103" s="2" t="n">
        <v>84.55</v>
      </c>
      <c r="F103" s="2" t="n">
        <v>31</v>
      </c>
      <c r="G103" s="2" t="n">
        <v>2319.42</v>
      </c>
      <c r="H103" s="2" t="n">
        <v>2621.05</v>
      </c>
      <c r="I103" s="2" t="n">
        <v>9.73</v>
      </c>
    </row>
    <row r="104" customFormat="false" ht="14.35" hidden="false" customHeight="false" outlineLevel="0" collapsed="false">
      <c r="A104" s="0" t="n">
        <v>54</v>
      </c>
      <c r="B104" s="2" t="s">
        <v>67</v>
      </c>
      <c r="C104" s="2" t="s">
        <v>13</v>
      </c>
      <c r="D104" s="2" t="n">
        <v>32.29</v>
      </c>
      <c r="E104" s="2" t="n">
        <v>42.95</v>
      </c>
      <c r="F104" s="2" t="n">
        <v>111</v>
      </c>
      <c r="G104" s="2" t="n">
        <v>3584.19</v>
      </c>
      <c r="H104" s="2" t="n">
        <v>4767.45</v>
      </c>
      <c r="I104" s="2" t="n">
        <v>10.66</v>
      </c>
    </row>
    <row r="105" customFormat="false" ht="14.35" hidden="false" customHeight="false" outlineLevel="0" collapsed="false">
      <c r="A105" s="0" t="n">
        <v>60</v>
      </c>
      <c r="B105" s="2" t="s">
        <v>73</v>
      </c>
      <c r="C105" s="2" t="s">
        <v>13</v>
      </c>
      <c r="D105" s="2" t="n">
        <v>52.6</v>
      </c>
      <c r="E105" s="2" t="n">
        <v>71.54</v>
      </c>
      <c r="F105" s="2" t="n">
        <v>146</v>
      </c>
      <c r="G105" s="2" t="n">
        <v>7679.6</v>
      </c>
      <c r="H105" s="2" t="n">
        <v>10444.84</v>
      </c>
      <c r="I105" s="2" t="n">
        <v>18.94</v>
      </c>
    </row>
    <row r="106" customFormat="false" ht="14.35" hidden="false" customHeight="false" outlineLevel="0" collapsed="false">
      <c r="A106" s="0" t="n">
        <v>61</v>
      </c>
      <c r="B106" s="2" t="s">
        <v>74</v>
      </c>
      <c r="C106" s="2" t="s">
        <v>13</v>
      </c>
      <c r="D106" s="2" t="n">
        <v>41.68</v>
      </c>
      <c r="E106" s="2" t="n">
        <v>57.94</v>
      </c>
      <c r="F106" s="2" t="n">
        <v>92</v>
      </c>
      <c r="G106" s="2" t="n">
        <v>3834.56</v>
      </c>
      <c r="H106" s="2" t="n">
        <v>5330.48</v>
      </c>
      <c r="I106" s="2" t="n">
        <v>16.26</v>
      </c>
    </row>
    <row r="107" customFormat="false" ht="14.35" hidden="false" customHeight="false" outlineLevel="0" collapsed="false">
      <c r="A107" s="0" t="n">
        <v>62</v>
      </c>
      <c r="B107" s="2" t="s">
        <v>75</v>
      </c>
      <c r="C107" s="2" t="s">
        <v>13</v>
      </c>
      <c r="D107" s="2" t="n">
        <v>87.59</v>
      </c>
      <c r="E107" s="2" t="n">
        <v>98.98</v>
      </c>
      <c r="F107" s="2" t="n">
        <v>114</v>
      </c>
      <c r="G107" s="2" t="n">
        <v>9985.26</v>
      </c>
      <c r="H107" s="2" t="n">
        <v>11283.72</v>
      </c>
      <c r="I107" s="2" t="n">
        <v>11.39</v>
      </c>
    </row>
    <row r="108" customFormat="false" ht="14.35" hidden="false" customHeight="false" outlineLevel="0" collapsed="false">
      <c r="A108" s="0" t="n">
        <v>64</v>
      </c>
      <c r="B108" s="2" t="s">
        <v>77</v>
      </c>
      <c r="C108" s="2" t="s">
        <v>13</v>
      </c>
      <c r="D108" s="2" t="n">
        <v>92.65</v>
      </c>
      <c r="E108" s="2" t="n">
        <v>122.3</v>
      </c>
      <c r="F108" s="2" t="n">
        <v>49</v>
      </c>
      <c r="G108" s="2" t="n">
        <v>4539.85</v>
      </c>
      <c r="H108" s="2" t="n">
        <v>5992.7</v>
      </c>
      <c r="I108" s="2" t="n">
        <v>29.65</v>
      </c>
    </row>
    <row r="109" customFormat="false" ht="14.35" hidden="false" customHeight="false" outlineLevel="0" collapsed="false">
      <c r="A109" s="0" t="n">
        <v>66</v>
      </c>
      <c r="B109" s="2" t="s">
        <v>79</v>
      </c>
      <c r="C109" s="2" t="s">
        <v>13</v>
      </c>
      <c r="D109" s="2" t="n">
        <v>41.9</v>
      </c>
      <c r="E109" s="2" t="n">
        <v>58.24</v>
      </c>
      <c r="F109" s="2" t="n">
        <v>48</v>
      </c>
      <c r="G109" s="2" t="n">
        <v>2011.2</v>
      </c>
      <c r="H109" s="2" t="n">
        <v>2795.52</v>
      </c>
      <c r="I109" s="2" t="n">
        <v>16.34</v>
      </c>
    </row>
    <row r="110" customFormat="false" ht="14.35" hidden="false" customHeight="false" outlineLevel="0" collapsed="false">
      <c r="A110" s="0" t="n">
        <v>74</v>
      </c>
      <c r="B110" s="2" t="s">
        <v>87</v>
      </c>
      <c r="C110" s="2" t="s">
        <v>13</v>
      </c>
      <c r="D110" s="2" t="n">
        <v>44.25</v>
      </c>
      <c r="E110" s="2" t="n">
        <v>50.89</v>
      </c>
      <c r="F110" s="2" t="n">
        <v>144</v>
      </c>
      <c r="G110" s="2" t="n">
        <v>6372</v>
      </c>
      <c r="H110" s="2" t="n">
        <v>7328.16</v>
      </c>
      <c r="I110" s="2" t="n">
        <v>6.64</v>
      </c>
    </row>
    <row r="111" customFormat="false" ht="14.35" hidden="false" customHeight="false" outlineLevel="0" collapsed="false">
      <c r="A111" s="0" t="n">
        <v>82</v>
      </c>
      <c r="B111" s="2" t="s">
        <v>95</v>
      </c>
      <c r="C111" s="2" t="s">
        <v>13</v>
      </c>
      <c r="D111" s="2" t="n">
        <v>44.29</v>
      </c>
      <c r="E111" s="2" t="n">
        <v>51.38</v>
      </c>
      <c r="F111" s="2" t="n">
        <v>76</v>
      </c>
      <c r="G111" s="2" t="n">
        <v>3366.04</v>
      </c>
      <c r="H111" s="2" t="n">
        <v>3904.88</v>
      </c>
      <c r="I111" s="2" t="n">
        <v>7.09</v>
      </c>
    </row>
    <row r="112" customFormat="false" ht="14.35" hidden="false" customHeight="false" outlineLevel="0" collapsed="false">
      <c r="A112" s="0" t="n">
        <v>90</v>
      </c>
      <c r="B112" s="2" t="s">
        <v>103</v>
      </c>
      <c r="C112" s="2" t="s">
        <v>13</v>
      </c>
      <c r="D112" s="2" t="n">
        <v>12.21</v>
      </c>
      <c r="E112" s="2" t="n">
        <v>15.26</v>
      </c>
      <c r="F112" s="2" t="n">
        <v>139</v>
      </c>
      <c r="G112" s="2" t="n">
        <v>1697.19</v>
      </c>
      <c r="H112" s="2" t="n">
        <v>2121.14</v>
      </c>
      <c r="I112" s="2" t="n">
        <v>3.05</v>
      </c>
    </row>
    <row r="113" customFormat="false" ht="14.35" hidden="false" customHeight="false" outlineLevel="0" collapsed="false">
      <c r="A113" s="0" t="n">
        <v>108</v>
      </c>
      <c r="B113" s="2" t="s">
        <v>121</v>
      </c>
      <c r="C113" s="2" t="s">
        <v>13</v>
      </c>
      <c r="D113" s="2" t="n">
        <v>71.85</v>
      </c>
      <c r="E113" s="2" t="n">
        <v>88.38</v>
      </c>
      <c r="F113" s="2" t="n">
        <v>91</v>
      </c>
      <c r="G113" s="2" t="n">
        <v>6538.35</v>
      </c>
      <c r="H113" s="2" t="n">
        <v>8042.58</v>
      </c>
      <c r="I113" s="2" t="n">
        <v>16.53</v>
      </c>
    </row>
    <row r="114" customFormat="false" ht="14.35" hidden="false" customHeight="false" outlineLevel="0" collapsed="false">
      <c r="A114" s="0" t="n">
        <v>112</v>
      </c>
      <c r="B114" s="2" t="s">
        <v>125</v>
      </c>
      <c r="C114" s="2" t="s">
        <v>13</v>
      </c>
      <c r="D114" s="2" t="n">
        <v>19.6</v>
      </c>
      <c r="E114" s="2" t="n">
        <v>22.15</v>
      </c>
      <c r="F114" s="2" t="n">
        <v>20</v>
      </c>
      <c r="G114" s="2" t="n">
        <v>392</v>
      </c>
      <c r="H114" s="2" t="n">
        <v>443</v>
      </c>
      <c r="I114" s="2" t="n">
        <v>2.55</v>
      </c>
    </row>
    <row r="115" customFormat="false" ht="14.35" hidden="false" customHeight="false" outlineLevel="0" collapsed="false">
      <c r="A115" s="0" t="n">
        <v>118</v>
      </c>
      <c r="B115" s="2" t="s">
        <v>131</v>
      </c>
      <c r="C115" s="2" t="s">
        <v>13</v>
      </c>
      <c r="D115" s="2" t="n">
        <v>81.42</v>
      </c>
      <c r="E115" s="2" t="n">
        <v>102.59</v>
      </c>
      <c r="F115" s="2" t="n">
        <v>58</v>
      </c>
      <c r="G115" s="2" t="n">
        <v>4722.36</v>
      </c>
      <c r="H115" s="2" t="n">
        <v>5950.22</v>
      </c>
      <c r="I115" s="2" t="n">
        <v>21.17</v>
      </c>
    </row>
    <row r="116" customFormat="false" ht="14.35" hidden="false" customHeight="false" outlineLevel="0" collapsed="false">
      <c r="A116" s="0" t="n">
        <v>120</v>
      </c>
      <c r="B116" s="2" t="s">
        <v>133</v>
      </c>
      <c r="C116" s="2" t="s">
        <v>13</v>
      </c>
      <c r="D116" s="2" t="n">
        <v>87.07</v>
      </c>
      <c r="E116" s="2" t="n">
        <v>119.29</v>
      </c>
      <c r="F116" s="2" t="n">
        <v>132</v>
      </c>
      <c r="G116" s="2" t="n">
        <v>11493.24</v>
      </c>
      <c r="H116" s="2" t="n">
        <v>15746.28</v>
      </c>
      <c r="I116" s="2" t="n">
        <v>32.22</v>
      </c>
    </row>
    <row r="117" customFormat="false" ht="14.35" hidden="false" customHeight="false" outlineLevel="0" collapsed="false">
      <c r="A117" s="0" t="n">
        <v>122</v>
      </c>
      <c r="B117" s="2" t="s">
        <v>135</v>
      </c>
      <c r="C117" s="2" t="s">
        <v>13</v>
      </c>
      <c r="D117" s="2" t="n">
        <v>77.91</v>
      </c>
      <c r="E117" s="2" t="n">
        <v>98.17</v>
      </c>
      <c r="F117" s="2" t="n">
        <v>119</v>
      </c>
      <c r="G117" s="2" t="n">
        <v>9271.29</v>
      </c>
      <c r="H117" s="2" t="n">
        <v>11682.23</v>
      </c>
      <c r="I117" s="2" t="n">
        <v>20.26</v>
      </c>
    </row>
    <row r="118" customFormat="false" ht="14.35" hidden="false" customHeight="false" outlineLevel="0" collapsed="false">
      <c r="A118" s="0" t="n">
        <v>123</v>
      </c>
      <c r="B118" s="2" t="s">
        <v>136</v>
      </c>
      <c r="C118" s="2" t="s">
        <v>13</v>
      </c>
      <c r="D118" s="2" t="n">
        <v>56.06</v>
      </c>
      <c r="E118" s="2" t="n">
        <v>65.59</v>
      </c>
      <c r="F118" s="2" t="n">
        <v>109</v>
      </c>
      <c r="G118" s="2" t="n">
        <v>6110.54</v>
      </c>
      <c r="H118" s="2" t="n">
        <v>7149.31</v>
      </c>
      <c r="I118" s="2" t="n">
        <v>9.53</v>
      </c>
    </row>
    <row r="119" customFormat="false" ht="14.35" hidden="false" customHeight="false" outlineLevel="0" collapsed="false">
      <c r="A119" s="0" t="n">
        <v>129</v>
      </c>
      <c r="B119" s="2" t="s">
        <v>142</v>
      </c>
      <c r="C119" s="2" t="s">
        <v>13</v>
      </c>
      <c r="D119" s="2" t="n">
        <v>40.59</v>
      </c>
      <c r="E119" s="2" t="n">
        <v>49.11</v>
      </c>
      <c r="F119" s="2" t="n">
        <v>101</v>
      </c>
      <c r="G119" s="2" t="n">
        <v>4099.59</v>
      </c>
      <c r="H119" s="2" t="n">
        <v>4960.11</v>
      </c>
      <c r="I119" s="2" t="n">
        <v>8.52</v>
      </c>
    </row>
    <row r="120" customFormat="false" ht="14.35" hidden="false" customHeight="false" outlineLevel="0" collapsed="false">
      <c r="A120" s="0" t="n">
        <v>132</v>
      </c>
      <c r="B120" s="2" t="s">
        <v>145</v>
      </c>
      <c r="C120" s="2" t="s">
        <v>13</v>
      </c>
      <c r="D120" s="2" t="n">
        <v>16.67</v>
      </c>
      <c r="E120" s="2" t="n">
        <v>23</v>
      </c>
      <c r="F120" s="2" t="n">
        <v>108</v>
      </c>
      <c r="G120" s="2" t="n">
        <v>1800.36</v>
      </c>
      <c r="H120" s="2" t="n">
        <v>2484</v>
      </c>
      <c r="I120" s="2" t="n">
        <v>6.33</v>
      </c>
    </row>
    <row r="121" customFormat="false" ht="14.35" hidden="false" customHeight="false" outlineLevel="0" collapsed="false">
      <c r="A121" s="0" t="n">
        <v>133</v>
      </c>
      <c r="B121" s="2" t="s">
        <v>146</v>
      </c>
      <c r="C121" s="2" t="s">
        <v>13</v>
      </c>
      <c r="D121" s="2" t="n">
        <v>22.66</v>
      </c>
      <c r="E121" s="2" t="n">
        <v>29.68</v>
      </c>
      <c r="F121" s="2" t="n">
        <v>78</v>
      </c>
      <c r="G121" s="2" t="n">
        <v>1767.48</v>
      </c>
      <c r="H121" s="2" t="n">
        <v>2315.04</v>
      </c>
      <c r="I121" s="2" t="n">
        <v>7.02</v>
      </c>
    </row>
    <row r="122" customFormat="false" ht="14.35" hidden="false" customHeight="false" outlineLevel="0" collapsed="false">
      <c r="A122" s="0" t="n">
        <v>140</v>
      </c>
      <c r="B122" s="2" t="s">
        <v>153</v>
      </c>
      <c r="C122" s="2" t="s">
        <v>13</v>
      </c>
      <c r="D122" s="2" t="n">
        <v>90.19</v>
      </c>
      <c r="E122" s="2" t="n">
        <v>105.52</v>
      </c>
      <c r="F122" s="2" t="n">
        <v>26</v>
      </c>
      <c r="G122" s="2" t="n">
        <v>2344.94</v>
      </c>
      <c r="H122" s="2" t="n">
        <v>2743.52</v>
      </c>
      <c r="I122" s="2" t="n">
        <v>15.33</v>
      </c>
    </row>
    <row r="123" customFormat="false" ht="14.35" hidden="false" customHeight="false" outlineLevel="0" collapsed="false">
      <c r="A123" s="0" t="n">
        <v>147</v>
      </c>
      <c r="B123" s="2" t="s">
        <v>160</v>
      </c>
      <c r="C123" s="2" t="s">
        <v>13</v>
      </c>
      <c r="D123" s="2" t="n">
        <v>14.21</v>
      </c>
      <c r="E123" s="2" t="n">
        <v>17.76</v>
      </c>
      <c r="F123" s="2" t="n">
        <v>106</v>
      </c>
      <c r="G123" s="2" t="n">
        <v>1506.26</v>
      </c>
      <c r="H123" s="2" t="n">
        <v>1882.56</v>
      </c>
      <c r="I123" s="2" t="n">
        <v>3.55</v>
      </c>
    </row>
    <row r="124" customFormat="false" ht="14.35" hidden="false" customHeight="false" outlineLevel="0" collapsed="false">
      <c r="A124" s="0" t="n">
        <v>152</v>
      </c>
      <c r="B124" s="2" t="s">
        <v>165</v>
      </c>
      <c r="C124" s="2" t="s">
        <v>13</v>
      </c>
      <c r="D124" s="2" t="n">
        <v>26.81</v>
      </c>
      <c r="E124" s="2" t="n">
        <v>31.37</v>
      </c>
      <c r="F124" s="2" t="n">
        <v>93</v>
      </c>
      <c r="G124" s="2" t="n">
        <v>2493.33</v>
      </c>
      <c r="H124" s="2" t="n">
        <v>2917.41</v>
      </c>
      <c r="I124" s="2" t="n">
        <v>4.56</v>
      </c>
    </row>
    <row r="125" customFormat="false" ht="14.35" hidden="false" customHeight="false" outlineLevel="0" collapsed="false">
      <c r="A125" s="0" t="n">
        <v>157</v>
      </c>
      <c r="B125" s="2" t="s">
        <v>170</v>
      </c>
      <c r="C125" s="2" t="s">
        <v>13</v>
      </c>
      <c r="D125" s="2" t="n">
        <v>74.29</v>
      </c>
      <c r="E125" s="2" t="n">
        <v>87.66</v>
      </c>
      <c r="F125" s="2" t="n">
        <v>16</v>
      </c>
      <c r="G125" s="2" t="n">
        <v>1188.64</v>
      </c>
      <c r="H125" s="2" t="n">
        <v>1402.56</v>
      </c>
      <c r="I125" s="2" t="n">
        <v>13.37</v>
      </c>
    </row>
    <row r="126" customFormat="false" ht="14.35" hidden="false" customHeight="false" outlineLevel="0" collapsed="false">
      <c r="A126" s="0" t="n">
        <v>163</v>
      </c>
      <c r="B126" s="2" t="s">
        <v>176</v>
      </c>
      <c r="C126" s="2" t="s">
        <v>13</v>
      </c>
      <c r="D126" s="2" t="n">
        <v>59.67</v>
      </c>
      <c r="E126" s="2" t="n">
        <v>68.02</v>
      </c>
      <c r="F126" s="2" t="n">
        <v>106</v>
      </c>
      <c r="G126" s="2" t="n">
        <v>6325.02</v>
      </c>
      <c r="H126" s="2" t="n">
        <v>7210.12</v>
      </c>
      <c r="I126" s="2" t="n">
        <v>8.34999999999999</v>
      </c>
    </row>
    <row r="127" customFormat="false" ht="14.35" hidden="false" customHeight="false" outlineLevel="0" collapsed="false">
      <c r="A127" s="0" t="n">
        <v>167</v>
      </c>
      <c r="B127" s="2" t="s">
        <v>180</v>
      </c>
      <c r="C127" s="2" t="s">
        <v>13</v>
      </c>
      <c r="D127" s="2" t="n">
        <v>24.79</v>
      </c>
      <c r="E127" s="2" t="n">
        <v>33.96</v>
      </c>
      <c r="F127" s="2" t="n">
        <v>23</v>
      </c>
      <c r="G127" s="2" t="n">
        <v>570.17</v>
      </c>
      <c r="H127" s="2" t="n">
        <v>781.08</v>
      </c>
      <c r="I127" s="2" t="n">
        <v>9.17</v>
      </c>
    </row>
    <row r="128" customFormat="false" ht="14.35" hidden="false" customHeight="false" outlineLevel="0" collapsed="false">
      <c r="A128" s="0" t="n">
        <v>172</v>
      </c>
      <c r="B128" s="2" t="s">
        <v>185</v>
      </c>
      <c r="C128" s="2" t="s">
        <v>13</v>
      </c>
      <c r="D128" s="2" t="n">
        <v>36.48</v>
      </c>
      <c r="E128" s="2" t="n">
        <v>46.33</v>
      </c>
      <c r="F128" s="2" t="n">
        <v>39</v>
      </c>
      <c r="G128" s="2" t="n">
        <v>1422.72</v>
      </c>
      <c r="H128" s="2" t="n">
        <v>1806.87</v>
      </c>
      <c r="I128" s="2" t="n">
        <v>9.85</v>
      </c>
    </row>
    <row r="129" customFormat="false" ht="14.35" hidden="false" customHeight="false" outlineLevel="0" collapsed="false">
      <c r="A129" s="0" t="n">
        <v>177</v>
      </c>
      <c r="B129" s="2" t="s">
        <v>190</v>
      </c>
      <c r="C129" s="2" t="s">
        <v>13</v>
      </c>
      <c r="D129" s="2" t="n">
        <v>54.41</v>
      </c>
      <c r="E129" s="2" t="n">
        <v>66.92</v>
      </c>
      <c r="F129" s="2" t="n">
        <v>86</v>
      </c>
      <c r="G129" s="2" t="n">
        <v>4679.26</v>
      </c>
      <c r="H129" s="2" t="n">
        <v>5755.12</v>
      </c>
      <c r="I129" s="2" t="n">
        <v>12.51</v>
      </c>
    </row>
    <row r="130" customFormat="false" ht="14.35" hidden="false" customHeight="false" outlineLevel="0" collapsed="false">
      <c r="A130" s="0" t="n">
        <v>180</v>
      </c>
      <c r="B130" s="2" t="s">
        <v>193</v>
      </c>
      <c r="C130" s="2" t="s">
        <v>13</v>
      </c>
      <c r="D130" s="2" t="n">
        <v>18.18</v>
      </c>
      <c r="E130" s="2" t="n">
        <v>24</v>
      </c>
      <c r="F130" s="2" t="n">
        <v>139</v>
      </c>
      <c r="G130" s="2" t="n">
        <v>2527.02</v>
      </c>
      <c r="H130" s="2" t="n">
        <v>3336</v>
      </c>
      <c r="I130" s="2" t="n">
        <v>5.82</v>
      </c>
    </row>
    <row r="131" customFormat="false" ht="14.35" hidden="false" customHeight="false" outlineLevel="0" collapsed="false">
      <c r="A131" s="0" t="n">
        <v>185</v>
      </c>
      <c r="B131" s="2" t="s">
        <v>198</v>
      </c>
      <c r="C131" s="2" t="s">
        <v>13</v>
      </c>
      <c r="D131" s="2" t="n">
        <v>78.1</v>
      </c>
      <c r="E131" s="2" t="n">
        <v>105.44</v>
      </c>
      <c r="F131" s="2" t="n">
        <v>68</v>
      </c>
      <c r="G131" s="2" t="n">
        <v>5310.8</v>
      </c>
      <c r="H131" s="2" t="n">
        <v>7169.92</v>
      </c>
      <c r="I131" s="2" t="n">
        <v>27.34</v>
      </c>
    </row>
    <row r="132" customFormat="false" ht="14.35" hidden="false" customHeight="false" outlineLevel="0" collapsed="false">
      <c r="A132" s="0" t="n">
        <v>193</v>
      </c>
      <c r="B132" s="2" t="s">
        <v>206</v>
      </c>
      <c r="C132" s="2" t="s">
        <v>13</v>
      </c>
      <c r="D132" s="2" t="n">
        <v>77.51</v>
      </c>
      <c r="E132" s="2" t="n">
        <v>103.09</v>
      </c>
      <c r="F132" s="2" t="n">
        <v>4</v>
      </c>
      <c r="G132" s="2" t="n">
        <v>310.04</v>
      </c>
      <c r="H132" s="2" t="n">
        <v>412.36</v>
      </c>
      <c r="I132" s="2" t="n">
        <v>25.58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2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J26" activeCellId="0" sqref="J26"/>
    </sheetView>
  </sheetViews>
  <sheetFormatPr defaultColWidth="11.23046875" defaultRowHeight="14.35" customHeight="false" zeroHeight="false" outlineLevelRow="0" outlineLevelCol="0"/>
  <cols>
    <col collapsed="false" customWidth="true" hidden="false" outlineLevel="0" max="1" min="1" style="0" width="12.99"/>
    <col collapsed="false" customWidth="true" hidden="false" outlineLevel="0" max="2" min="2" style="0" width="19.9"/>
  </cols>
  <sheetData>
    <row r="1" customFormat="false" ht="18.9" hidden="false" customHeight="true" outlineLevel="0" collapsed="false">
      <c r="A1" s="0" t="s">
        <v>222</v>
      </c>
      <c r="B1" s="0" t="s">
        <v>223</v>
      </c>
    </row>
    <row r="2" customFormat="false" ht="14.35" hidden="false" customHeight="false" outlineLevel="0" collapsed="false">
      <c r="A2" s="2" t="n">
        <v>12.66</v>
      </c>
      <c r="B2" s="2" t="n">
        <f aca="false" t="array" ref="B2:B13">FREQUENCY(data!E2:E201, A2:A12)</f>
        <v>1</v>
      </c>
    </row>
    <row r="3" customFormat="false" ht="14.35" hidden="false" customHeight="false" outlineLevel="0" collapsed="false">
      <c r="A3" s="0" t="n">
        <v>24.94</v>
      </c>
      <c r="B3" s="0" t="n">
        <v>26</v>
      </c>
    </row>
    <row r="4" customFormat="false" ht="14.35" hidden="false" customHeight="false" outlineLevel="0" collapsed="false">
      <c r="A4" s="0" t="n">
        <v>37.22</v>
      </c>
      <c r="B4" s="0" t="n">
        <v>28</v>
      </c>
    </row>
    <row r="5" customFormat="false" ht="14.35" hidden="false" customHeight="false" outlineLevel="0" collapsed="false">
      <c r="A5" s="0" t="n">
        <v>49.5</v>
      </c>
      <c r="B5" s="0" t="n">
        <v>22</v>
      </c>
    </row>
    <row r="6" customFormat="false" ht="14.35" hidden="false" customHeight="false" outlineLevel="0" collapsed="false">
      <c r="A6" s="0" t="n">
        <v>61.79</v>
      </c>
      <c r="B6" s="0" t="n">
        <v>19</v>
      </c>
    </row>
    <row r="7" customFormat="false" ht="14.35" hidden="false" customHeight="false" outlineLevel="0" collapsed="false">
      <c r="A7" s="0" t="n">
        <v>74.07</v>
      </c>
      <c r="B7" s="0" t="n">
        <v>17</v>
      </c>
    </row>
    <row r="8" customFormat="false" ht="14.35" hidden="false" customHeight="false" outlineLevel="0" collapsed="false">
      <c r="A8" s="0" t="n">
        <v>86.35</v>
      </c>
      <c r="B8" s="0" t="n">
        <v>19</v>
      </c>
    </row>
    <row r="9" customFormat="false" ht="14.35" hidden="false" customHeight="false" outlineLevel="0" collapsed="false">
      <c r="A9" s="0" t="n">
        <v>98.63</v>
      </c>
      <c r="B9" s="0" t="n">
        <v>18</v>
      </c>
    </row>
    <row r="10" customFormat="false" ht="14.35" hidden="false" customHeight="false" outlineLevel="0" collapsed="false">
      <c r="A10" s="0" t="n">
        <v>110.91</v>
      </c>
      <c r="B10" s="0" t="n">
        <v>22</v>
      </c>
    </row>
    <row r="11" customFormat="false" ht="14.35" hidden="false" customHeight="false" outlineLevel="0" collapsed="false">
      <c r="A11" s="0" t="n">
        <v>123.19</v>
      </c>
      <c r="B11" s="0" t="n">
        <v>16</v>
      </c>
    </row>
    <row r="12" customFormat="false" ht="14.35" hidden="false" customHeight="false" outlineLevel="0" collapsed="false">
      <c r="A12" s="0" t="n">
        <v>135.48</v>
      </c>
      <c r="B12" s="0" t="n">
        <v>12</v>
      </c>
    </row>
    <row r="13" customFormat="false" ht="14.35" hidden="false" customHeight="false" outlineLevel="0" collapsed="false">
      <c r="A13" s="0" t="n">
        <v>150</v>
      </c>
      <c r="B13" s="0" t="n">
        <v>0</v>
      </c>
    </row>
    <row r="16" customFormat="false" ht="14.35" hidden="false" customHeight="false" outlineLevel="0" collapsed="false">
      <c r="A16" s="4" t="s">
        <v>2</v>
      </c>
      <c r="B16" s="5" t="s">
        <v>224</v>
      </c>
    </row>
    <row r="17" customFormat="false" ht="14.35" hidden="false" customHeight="false" outlineLevel="0" collapsed="false">
      <c r="A17" s="6" t="s">
        <v>15</v>
      </c>
      <c r="B17" s="7" t="n">
        <v>186780.87</v>
      </c>
    </row>
    <row r="18" customFormat="false" ht="14.35" hidden="false" customHeight="false" outlineLevel="0" collapsed="false">
      <c r="A18" s="8" t="s">
        <v>30</v>
      </c>
      <c r="B18" s="9" t="n">
        <v>190599.73</v>
      </c>
    </row>
    <row r="19" customFormat="false" ht="14.35" hidden="false" customHeight="false" outlineLevel="0" collapsed="false">
      <c r="A19" s="8" t="s">
        <v>13</v>
      </c>
      <c r="B19" s="9" t="n">
        <v>190931.39</v>
      </c>
    </row>
    <row r="20" customFormat="false" ht="14.35" hidden="false" customHeight="false" outlineLevel="0" collapsed="false">
      <c r="A20" s="8" t="s">
        <v>10</v>
      </c>
      <c r="B20" s="9" t="n">
        <v>224341.82</v>
      </c>
    </row>
    <row r="21" customFormat="false" ht="14.35" hidden="false" customHeight="false" outlineLevel="0" collapsed="false">
      <c r="A21" s="8" t="s">
        <v>23</v>
      </c>
      <c r="B21" s="10" t="n">
        <v>261167.8</v>
      </c>
    </row>
    <row r="22" customFormat="false" ht="14.35" hidden="false" customHeight="false" outlineLevel="0" collapsed="false">
      <c r="A22" s="11" t="s">
        <v>225</v>
      </c>
      <c r="B22" s="12" t="n">
        <v>1053821.61</v>
      </c>
    </row>
    <row r="36" customFormat="false" ht="14.35" hidden="false" customHeight="false" outlineLevel="0" collapsed="false">
      <c r="A36" s="4" t="s">
        <v>2</v>
      </c>
      <c r="B36" s="5" t="s">
        <v>226</v>
      </c>
    </row>
    <row r="37" customFormat="false" ht="14.35" hidden="false" customHeight="false" outlineLevel="0" collapsed="false">
      <c r="A37" s="6" t="s">
        <v>15</v>
      </c>
      <c r="B37" s="7" t="n">
        <v>36</v>
      </c>
    </row>
    <row r="38" customFormat="false" ht="14.35" hidden="false" customHeight="false" outlineLevel="0" collapsed="false">
      <c r="A38" s="8" t="s">
        <v>30</v>
      </c>
      <c r="B38" s="9" t="n">
        <v>39</v>
      </c>
    </row>
    <row r="39" customFormat="false" ht="14.35" hidden="false" customHeight="false" outlineLevel="0" collapsed="false">
      <c r="A39" s="8" t="s">
        <v>13</v>
      </c>
      <c r="B39" s="9" t="n">
        <v>39</v>
      </c>
    </row>
    <row r="40" customFormat="false" ht="14.35" hidden="false" customHeight="false" outlineLevel="0" collapsed="false">
      <c r="A40" s="8" t="s">
        <v>10</v>
      </c>
      <c r="B40" s="9" t="n">
        <v>40</v>
      </c>
    </row>
    <row r="41" customFormat="false" ht="14.35" hidden="false" customHeight="false" outlineLevel="0" collapsed="false">
      <c r="A41" s="8" t="s">
        <v>23</v>
      </c>
      <c r="B41" s="10" t="n">
        <v>46</v>
      </c>
    </row>
    <row r="42" customFormat="false" ht="14.35" hidden="false" customHeight="false" outlineLevel="0" collapsed="false">
      <c r="A42" s="11" t="s">
        <v>225</v>
      </c>
      <c r="B42" s="12" t="n">
        <v>200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100</TotalTime>
  <Application>LibreOffice/26.2.1.2$Linux_X86_64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2026-03-09T16:45:48Z</dcterms:created>
  <dc:creator/>
  <dc:description/>
  <dc:language>en-GB</dc:language>
  <cp:lastModifiedBy/>
  <dcterms:modified xsi:type="dcterms:W3CDTF">2026-03-10T09:50:43Z</dcterms:modified>
  <cp:revision>36</cp:revision>
  <dc:subject/>
  <dc:title/>
</cp:coreProperties>
</file>